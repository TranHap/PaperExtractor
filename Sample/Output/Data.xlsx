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2141B82-A4D0-4FFE-8332-E76C04598264}" xr6:coauthVersionLast="47" xr6:coauthVersionMax="47" xr10:uidLastSave="{00000000-0000-0000-0000-000000000000}"/>
  <bookViews>
    <workbookView xWindow="-98" yWindow="-98" windowWidth="21795" windowHeight="13695" xr2:uid="{BE66ECC4-CAD8-4A9C-8E8D-CBBD1C526FE7}"/>
  </bookViews>
  <sheets>
    <sheet name="Sheet1" sheetId="1" r:id="rId1"/>
    <sheet name="Validation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9" i="2" l="1"/>
  <c r="AP381" i="1"/>
  <c r="AP389" i="1"/>
  <c r="AP397" i="1"/>
  <c r="AP405" i="1"/>
  <c r="AP413" i="1"/>
  <c r="AP421" i="1"/>
  <c r="AQ421" i="1" s="1"/>
  <c r="AS421" i="1" s="1"/>
  <c r="AR421" i="1"/>
  <c r="AP429" i="1"/>
  <c r="AQ429" i="1"/>
  <c r="AR429" i="1"/>
  <c r="AS429" i="1"/>
  <c r="AP437" i="1"/>
  <c r="AQ437" i="1"/>
  <c r="AS437" i="1" s="1"/>
  <c r="AR437" i="1"/>
  <c r="AP445" i="1"/>
  <c r="AQ445" i="1"/>
  <c r="AS445" i="1" s="1"/>
  <c r="AR445" i="1"/>
  <c r="AP453" i="1"/>
  <c r="AQ453" i="1"/>
  <c r="AR453" i="1"/>
  <c r="AS453" i="1"/>
  <c r="AP461" i="1"/>
  <c r="AP469" i="1"/>
  <c r="AP477" i="1"/>
  <c r="AQ477" i="1" s="1"/>
  <c r="AS477" i="1" s="1"/>
  <c r="AR477" i="1"/>
  <c r="AP485" i="1"/>
  <c r="AQ485" i="1"/>
  <c r="AR485" i="1"/>
  <c r="AS485" i="1"/>
  <c r="AP493" i="1"/>
  <c r="AQ493" i="1"/>
  <c r="AS493" i="1" s="1"/>
  <c r="AR493" i="1"/>
  <c r="AP501" i="1"/>
  <c r="AQ501" i="1"/>
  <c r="AS501" i="1" s="1"/>
  <c r="AR501" i="1"/>
  <c r="AP509" i="1"/>
  <c r="AQ509" i="1"/>
  <c r="AS509" i="1" s="1"/>
  <c r="AR509" i="1"/>
  <c r="AP517" i="1"/>
  <c r="AP525" i="1"/>
  <c r="AP533" i="1"/>
  <c r="AP541" i="1"/>
  <c r="AP549" i="1"/>
  <c r="AP557" i="1"/>
  <c r="AP565" i="1"/>
  <c r="AP573" i="1"/>
  <c r="AP581" i="1"/>
  <c r="AP589" i="1"/>
  <c r="AP597" i="1"/>
  <c r="AP605" i="1"/>
  <c r="AP613" i="1"/>
  <c r="AP4" i="1"/>
  <c r="AP11" i="1"/>
  <c r="AP18" i="1"/>
  <c r="AP25" i="1"/>
  <c r="AP32" i="1"/>
  <c r="AP39" i="1"/>
  <c r="AP47" i="1"/>
  <c r="AP55" i="1"/>
  <c r="AP63" i="1"/>
  <c r="AP71" i="1"/>
  <c r="AQ71" i="1"/>
  <c r="AR71" i="1"/>
  <c r="AS71" i="1"/>
  <c r="AP79" i="1"/>
  <c r="AQ79" i="1"/>
  <c r="AR79" i="1"/>
  <c r="AS79" i="1"/>
  <c r="AP87" i="1"/>
  <c r="AQ87" i="1"/>
  <c r="AR87" i="1"/>
  <c r="AS87" i="1"/>
  <c r="AP95" i="1"/>
  <c r="AQ95" i="1"/>
  <c r="AR95" i="1"/>
  <c r="AS95" i="1"/>
  <c r="AP103" i="1"/>
  <c r="AQ103" i="1"/>
  <c r="AR103" i="1"/>
  <c r="AS103" i="1"/>
  <c r="AP111" i="1"/>
  <c r="AQ111" i="1"/>
  <c r="AR111" i="1"/>
  <c r="AS111" i="1"/>
  <c r="AP119" i="1"/>
  <c r="AQ119" i="1"/>
  <c r="AS119" i="1" s="1"/>
  <c r="AR119" i="1"/>
  <c r="AP127" i="1"/>
  <c r="AP135" i="1"/>
  <c r="AP143" i="1"/>
  <c r="AP151" i="1"/>
  <c r="AP159" i="1"/>
  <c r="AP167" i="1"/>
  <c r="AP173" i="1"/>
  <c r="AP179" i="1"/>
  <c r="AP185" i="1"/>
  <c r="AP195" i="1"/>
  <c r="AP205" i="1"/>
  <c r="AP215" i="1"/>
  <c r="AP223" i="1"/>
  <c r="AP231" i="1"/>
  <c r="AP239" i="1"/>
  <c r="AP247" i="1"/>
  <c r="AP255" i="1"/>
  <c r="AP263" i="1"/>
  <c r="AP271" i="1"/>
  <c r="AP279" i="1"/>
  <c r="AP287" i="1"/>
  <c r="AP295" i="1"/>
  <c r="AP301" i="1"/>
  <c r="AP307" i="1"/>
  <c r="AP313" i="1"/>
  <c r="AP319" i="1"/>
  <c r="AP325" i="1"/>
  <c r="AP331" i="1"/>
  <c r="AP337" i="1"/>
  <c r="AP343" i="1"/>
  <c r="AP349" i="1"/>
  <c r="AP357" i="1"/>
  <c r="AQ357" i="1"/>
  <c r="AR357" i="1"/>
  <c r="AS357" i="1"/>
  <c r="AP365" i="1"/>
  <c r="AQ365" i="1"/>
  <c r="AR365" i="1"/>
  <c r="AS365" i="1"/>
  <c r="AP373" i="1"/>
  <c r="AQ373" i="1"/>
  <c r="AR373" i="1"/>
  <c r="AS373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O400" i="1" s="1"/>
  <c r="AJ401" i="1"/>
  <c r="AO401" i="1" s="1"/>
  <c r="AJ402" i="1"/>
  <c r="AO402" i="1" s="1"/>
  <c r="AJ403" i="1"/>
  <c r="AO403" i="1" s="1"/>
  <c r="AJ404" i="1"/>
  <c r="AO404" i="1" s="1"/>
  <c r="AJ405" i="1"/>
  <c r="AO405" i="1" s="1"/>
  <c r="AJ406" i="1"/>
  <c r="AO406" i="1" s="1"/>
  <c r="AJ407" i="1"/>
  <c r="AO407" i="1" s="1"/>
  <c r="AJ408" i="1"/>
  <c r="AO408" i="1" s="1"/>
  <c r="AJ409" i="1"/>
  <c r="AO409" i="1" s="1"/>
  <c r="AJ410" i="1"/>
  <c r="AO410" i="1" s="1"/>
  <c r="AJ411" i="1"/>
  <c r="AO411" i="1" s="1"/>
  <c r="AJ412" i="1"/>
  <c r="AO412" i="1" s="1"/>
  <c r="AJ413" i="1"/>
  <c r="AO413" i="1" s="1"/>
  <c r="AJ414" i="1"/>
  <c r="AO414" i="1" s="1"/>
  <c r="AJ415" i="1"/>
  <c r="AO415" i="1" s="1"/>
  <c r="AJ416" i="1"/>
  <c r="AO416" i="1" s="1"/>
  <c r="AJ417" i="1"/>
  <c r="AO417" i="1" s="1"/>
  <c r="AJ418" i="1"/>
  <c r="AO418" i="1" s="1"/>
  <c r="AJ419" i="1"/>
  <c r="AO419" i="1" s="1"/>
  <c r="AJ420" i="1"/>
  <c r="AO420" i="1" s="1"/>
  <c r="AJ421" i="1"/>
  <c r="AO421" i="1" s="1"/>
  <c r="AJ422" i="1"/>
  <c r="AO422" i="1" s="1"/>
  <c r="AJ423" i="1"/>
  <c r="AO423" i="1" s="1"/>
  <c r="AJ424" i="1"/>
  <c r="AO424" i="1" s="1"/>
  <c r="AJ425" i="1"/>
  <c r="AO425" i="1" s="1"/>
  <c r="AJ426" i="1"/>
  <c r="AO426" i="1" s="1"/>
  <c r="AJ427" i="1"/>
  <c r="AO427" i="1" s="1"/>
  <c r="AJ428" i="1"/>
  <c r="AO428" i="1" s="1"/>
  <c r="AJ429" i="1"/>
  <c r="AO429" i="1" s="1"/>
  <c r="AJ430" i="1"/>
  <c r="AO430" i="1" s="1"/>
  <c r="AJ431" i="1"/>
  <c r="AO431" i="1" s="1"/>
  <c r="AJ432" i="1"/>
  <c r="AO432" i="1" s="1"/>
  <c r="AJ433" i="1"/>
  <c r="AO433" i="1" s="1"/>
  <c r="AJ434" i="1"/>
  <c r="AO434" i="1" s="1"/>
  <c r="AJ435" i="1"/>
  <c r="AO435" i="1" s="1"/>
  <c r="AJ436" i="1"/>
  <c r="AO436" i="1" s="1"/>
  <c r="AJ437" i="1"/>
  <c r="AO437" i="1" s="1"/>
  <c r="AJ438" i="1"/>
  <c r="AO438" i="1" s="1"/>
  <c r="AJ439" i="1"/>
  <c r="AO439" i="1" s="1"/>
  <c r="AJ440" i="1"/>
  <c r="AO440" i="1" s="1"/>
  <c r="AJ441" i="1"/>
  <c r="AO441" i="1" s="1"/>
  <c r="AJ442" i="1"/>
  <c r="AO442" i="1" s="1"/>
  <c r="AJ443" i="1"/>
  <c r="AO443" i="1" s="1"/>
  <c r="AJ444" i="1"/>
  <c r="AO444" i="1" s="1"/>
  <c r="AJ445" i="1"/>
  <c r="AO445" i="1" s="1"/>
  <c r="AJ446" i="1"/>
  <c r="AO446" i="1" s="1"/>
  <c r="AJ447" i="1"/>
  <c r="AO447" i="1" s="1"/>
  <c r="AJ448" i="1"/>
  <c r="AO448" i="1" s="1"/>
  <c r="AJ449" i="1"/>
  <c r="AO449" i="1" s="1"/>
  <c r="AJ450" i="1"/>
  <c r="AO450" i="1" s="1"/>
  <c r="AJ451" i="1"/>
  <c r="AO451" i="1" s="1"/>
  <c r="AJ452" i="1"/>
  <c r="AO452" i="1" s="1"/>
  <c r="AJ453" i="1"/>
  <c r="AO453" i="1" s="1"/>
  <c r="AJ454" i="1"/>
  <c r="AO454" i="1" s="1"/>
  <c r="AJ455" i="1"/>
  <c r="AO455" i="1" s="1"/>
  <c r="AJ456" i="1"/>
  <c r="AO456" i="1" s="1"/>
  <c r="AJ457" i="1"/>
  <c r="AO457" i="1" s="1"/>
  <c r="AJ458" i="1"/>
  <c r="AO458" i="1" s="1"/>
  <c r="AJ459" i="1"/>
  <c r="AO459" i="1" s="1"/>
  <c r="AJ460" i="1"/>
  <c r="AO460" i="1" s="1"/>
  <c r="AJ461" i="1"/>
  <c r="AO461" i="1" s="1"/>
  <c r="AJ462" i="1"/>
  <c r="AO462" i="1" s="1"/>
  <c r="AJ463" i="1"/>
  <c r="AO463" i="1" s="1"/>
  <c r="AJ464" i="1"/>
  <c r="AO464" i="1" s="1"/>
  <c r="AJ465" i="1"/>
  <c r="AO465" i="1" s="1"/>
  <c r="AJ466" i="1"/>
  <c r="AO466" i="1" s="1"/>
  <c r="AJ467" i="1"/>
  <c r="AO467" i="1" s="1"/>
  <c r="AJ468" i="1"/>
  <c r="AO468" i="1" s="1"/>
  <c r="AJ469" i="1"/>
  <c r="AO469" i="1" s="1"/>
  <c r="AJ470" i="1"/>
  <c r="AO470" i="1" s="1"/>
  <c r="AJ471" i="1"/>
  <c r="AO471" i="1" s="1"/>
  <c r="AJ472" i="1"/>
  <c r="AO472" i="1" s="1"/>
  <c r="AJ473" i="1"/>
  <c r="AO473" i="1" s="1"/>
  <c r="AJ474" i="1"/>
  <c r="AO474" i="1" s="1"/>
  <c r="AJ475" i="1"/>
  <c r="AO475" i="1" s="1"/>
  <c r="AJ476" i="1"/>
  <c r="AO476" i="1" s="1"/>
  <c r="AJ477" i="1"/>
  <c r="AO477" i="1" s="1"/>
  <c r="AJ478" i="1"/>
  <c r="AO478" i="1" s="1"/>
  <c r="AJ479" i="1"/>
  <c r="AO479" i="1" s="1"/>
  <c r="AJ480" i="1"/>
  <c r="AO480" i="1" s="1"/>
  <c r="AJ481" i="1"/>
  <c r="AO481" i="1" s="1"/>
  <c r="AJ482" i="1"/>
  <c r="AO482" i="1" s="1"/>
  <c r="AJ483" i="1"/>
  <c r="AO483" i="1" s="1"/>
  <c r="AJ484" i="1"/>
  <c r="AO484" i="1" s="1"/>
  <c r="AJ485" i="1"/>
  <c r="AO485" i="1" s="1"/>
  <c r="AJ486" i="1"/>
  <c r="AO486" i="1" s="1"/>
  <c r="AJ487" i="1"/>
  <c r="AO487" i="1" s="1"/>
  <c r="AJ488" i="1"/>
  <c r="AO488" i="1" s="1"/>
  <c r="AJ489" i="1"/>
  <c r="AO489" i="1" s="1"/>
  <c r="AJ490" i="1"/>
  <c r="AO490" i="1" s="1"/>
  <c r="AJ491" i="1"/>
  <c r="AO491" i="1" s="1"/>
  <c r="AJ492" i="1"/>
  <c r="AO492" i="1" s="1"/>
  <c r="AJ493" i="1"/>
  <c r="AO493" i="1" s="1"/>
  <c r="AJ494" i="1"/>
  <c r="AO494" i="1" s="1"/>
  <c r="AJ495" i="1"/>
  <c r="AO495" i="1" s="1"/>
  <c r="AJ496" i="1"/>
  <c r="AO496" i="1" s="1"/>
  <c r="AJ497" i="1"/>
  <c r="AO497" i="1" s="1"/>
  <c r="AJ498" i="1"/>
  <c r="AO498" i="1" s="1"/>
  <c r="AJ499" i="1"/>
  <c r="AO499" i="1" s="1"/>
  <c r="AJ500" i="1"/>
  <c r="AO500" i="1" s="1"/>
  <c r="AJ501" i="1"/>
  <c r="AO501" i="1" s="1"/>
  <c r="AJ502" i="1"/>
  <c r="AO502" i="1" s="1"/>
  <c r="AJ503" i="1"/>
  <c r="AO503" i="1" s="1"/>
  <c r="AJ504" i="1"/>
  <c r="AO504" i="1" s="1"/>
  <c r="AJ505" i="1"/>
  <c r="AO505" i="1" s="1"/>
  <c r="AJ506" i="1"/>
  <c r="AO506" i="1" s="1"/>
  <c r="AJ507" i="1"/>
  <c r="AO507" i="1" s="1"/>
  <c r="AJ508" i="1"/>
  <c r="AO508" i="1" s="1"/>
  <c r="AJ509" i="1"/>
  <c r="AO509" i="1" s="1"/>
  <c r="AJ510" i="1"/>
  <c r="AO510" i="1" s="1"/>
  <c r="AJ511" i="1"/>
  <c r="AO511" i="1" s="1"/>
  <c r="AJ512" i="1"/>
  <c r="AO512" i="1" s="1"/>
  <c r="AJ513" i="1"/>
  <c r="AO513" i="1" s="1"/>
  <c r="AJ514" i="1"/>
  <c r="AO514" i="1" s="1"/>
  <c r="AJ515" i="1"/>
  <c r="AO515" i="1" s="1"/>
  <c r="AJ516" i="1"/>
  <c r="AO516" i="1" s="1"/>
  <c r="AJ517" i="1"/>
  <c r="AO517" i="1" s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4" i="1"/>
  <c r="AJ343" i="1"/>
  <c r="AK343" i="1" s="1"/>
  <c r="AJ337" i="1"/>
  <c r="AK337" i="1" s="1"/>
  <c r="AJ331" i="1"/>
  <c r="AK331" i="1" s="1"/>
  <c r="AJ325" i="1"/>
  <c r="AK325" i="1" s="1"/>
  <c r="AJ319" i="1"/>
  <c r="AK319" i="1" s="1"/>
  <c r="AJ313" i="1"/>
  <c r="AK313" i="1" s="1"/>
  <c r="AJ307" i="1"/>
  <c r="AK307" i="1" s="1"/>
  <c r="AJ301" i="1"/>
  <c r="AK301" i="1" s="1"/>
  <c r="AJ295" i="1"/>
  <c r="AK295" i="1" s="1"/>
  <c r="AJ287" i="1"/>
  <c r="AK287" i="1" s="1"/>
  <c r="AJ279" i="1"/>
  <c r="AK279" i="1" s="1"/>
  <c r="AJ271" i="1"/>
  <c r="AK271" i="1" s="1"/>
  <c r="AJ263" i="1"/>
  <c r="AK263" i="1" s="1"/>
  <c r="AJ255" i="1"/>
  <c r="AK255" i="1" s="1"/>
  <c r="AJ247" i="1"/>
  <c r="AK247" i="1" s="1"/>
  <c r="AJ239" i="1"/>
  <c r="AK239" i="1" s="1"/>
  <c r="AJ231" i="1"/>
  <c r="AK231" i="1" s="1"/>
  <c r="AJ223" i="1"/>
  <c r="AK223" i="1" s="1"/>
  <c r="AJ215" i="1"/>
  <c r="AK215" i="1" s="1"/>
  <c r="AJ205" i="1"/>
  <c r="AK205" i="1" s="1"/>
  <c r="AJ195" i="1"/>
  <c r="AK195" i="1" s="1"/>
  <c r="AJ185" i="1"/>
  <c r="AK185" i="1" s="1"/>
  <c r="AJ179" i="1"/>
  <c r="AK179" i="1" s="1"/>
  <c r="AJ173" i="1"/>
  <c r="AK173" i="1" s="1"/>
  <c r="AJ167" i="1"/>
  <c r="AK167" i="1" s="1"/>
  <c r="AJ159" i="1"/>
  <c r="AK159" i="1" s="1"/>
  <c r="AJ151" i="1"/>
  <c r="AK151" i="1" s="1"/>
  <c r="AJ143" i="1"/>
  <c r="AK143" i="1" s="1"/>
  <c r="AJ135" i="1"/>
  <c r="AK135" i="1" s="1"/>
  <c r="AJ127" i="1"/>
  <c r="AK127" i="1" s="1"/>
  <c r="AJ119" i="1"/>
  <c r="AK119" i="1" s="1"/>
  <c r="AJ111" i="1"/>
  <c r="AK111" i="1" s="1"/>
  <c r="AJ103" i="1"/>
  <c r="AK103" i="1" s="1"/>
  <c r="AJ95" i="1"/>
  <c r="AK95" i="1" s="1"/>
  <c r="AJ87" i="1"/>
  <c r="AK87" i="1" s="1"/>
  <c r="AJ79" i="1"/>
  <c r="AK79" i="1" s="1"/>
  <c r="AJ71" i="1"/>
  <c r="AK71" i="1" s="1"/>
  <c r="AJ63" i="1"/>
  <c r="AK63" i="1" s="1"/>
  <c r="AJ55" i="1"/>
  <c r="AK55" i="1" s="1"/>
  <c r="AJ47" i="1"/>
  <c r="AK47" i="1" s="1"/>
  <c r="AJ39" i="1"/>
  <c r="AJ32" i="1"/>
  <c r="AJ25" i="1"/>
  <c r="AJ18" i="1"/>
  <c r="AJ11" i="1"/>
  <c r="AJ4" i="1"/>
  <c r="AK4" i="1" s="1"/>
  <c r="AJ6" i="1"/>
  <c r="AK6" i="1" s="1"/>
  <c r="AJ7" i="1"/>
  <c r="AK7" i="1" s="1"/>
  <c r="AJ8" i="1"/>
  <c r="AK8" i="1" s="1"/>
  <c r="AJ9" i="1"/>
  <c r="AK9" i="1" s="1"/>
  <c r="AJ10" i="1"/>
  <c r="AK10" i="1" s="1"/>
  <c r="AJ12" i="1"/>
  <c r="AK12" i="1" s="1"/>
  <c r="AJ13" i="1"/>
  <c r="AK13" i="1" s="1"/>
  <c r="AJ14" i="1"/>
  <c r="AK14" i="1" s="1"/>
  <c r="AJ15" i="1"/>
  <c r="AK15" i="1" s="1"/>
  <c r="AJ16" i="1"/>
  <c r="AK16" i="1" s="1"/>
  <c r="AJ17" i="1"/>
  <c r="AK17" i="1" s="1"/>
  <c r="AJ19" i="1"/>
  <c r="AK19" i="1" s="1"/>
  <c r="AJ20" i="1"/>
  <c r="AK20" i="1" s="1"/>
  <c r="AJ21" i="1"/>
  <c r="AK21" i="1" s="1"/>
  <c r="AJ22" i="1"/>
  <c r="AK22" i="1" s="1"/>
  <c r="AJ23" i="1"/>
  <c r="AK23" i="1" s="1"/>
  <c r="AJ24" i="1"/>
  <c r="AK24" i="1" s="1"/>
  <c r="AI18" i="1" s="1"/>
  <c r="AJ26" i="1"/>
  <c r="AK26" i="1" s="1"/>
  <c r="AJ27" i="1"/>
  <c r="AK27" i="1" s="1"/>
  <c r="AJ28" i="1"/>
  <c r="AK28" i="1" s="1"/>
  <c r="AJ29" i="1"/>
  <c r="AK29" i="1" s="1"/>
  <c r="AJ30" i="1"/>
  <c r="AK30" i="1" s="1"/>
  <c r="AJ31" i="1"/>
  <c r="AK31" i="1" s="1"/>
  <c r="AI25" i="1" s="1"/>
  <c r="AJ33" i="1"/>
  <c r="AK33" i="1" s="1"/>
  <c r="AJ34" i="1"/>
  <c r="AK34" i="1" s="1"/>
  <c r="AJ35" i="1"/>
  <c r="AK35" i="1" s="1"/>
  <c r="AJ36" i="1"/>
  <c r="AK36" i="1" s="1"/>
  <c r="AJ37" i="1"/>
  <c r="AK37" i="1" s="1"/>
  <c r="AJ38" i="1"/>
  <c r="AK38" i="1" s="1"/>
  <c r="AI32" i="1" s="1"/>
  <c r="AJ40" i="1"/>
  <c r="AK40" i="1" s="1"/>
  <c r="AJ41" i="1"/>
  <c r="AK41" i="1" s="1"/>
  <c r="AJ42" i="1"/>
  <c r="AK42" i="1" s="1"/>
  <c r="AJ43" i="1"/>
  <c r="AK43" i="1" s="1"/>
  <c r="AJ44" i="1"/>
  <c r="AK44" i="1" s="1"/>
  <c r="AJ45" i="1"/>
  <c r="AK45" i="1" s="1"/>
  <c r="AJ46" i="1"/>
  <c r="AK46" i="1" s="1"/>
  <c r="AI39" i="1" s="1"/>
  <c r="AJ48" i="1"/>
  <c r="AK48" i="1" s="1"/>
  <c r="AJ49" i="1"/>
  <c r="AK49" i="1" s="1"/>
  <c r="AJ50" i="1"/>
  <c r="AK50" i="1" s="1"/>
  <c r="AJ51" i="1"/>
  <c r="AK51" i="1" s="1"/>
  <c r="AJ52" i="1"/>
  <c r="AK52" i="1" s="1"/>
  <c r="AJ53" i="1"/>
  <c r="AK53" i="1" s="1"/>
  <c r="AJ54" i="1"/>
  <c r="AJ56" i="1"/>
  <c r="AK56" i="1" s="1"/>
  <c r="AJ57" i="1"/>
  <c r="AK57" i="1" s="1"/>
  <c r="AJ58" i="1"/>
  <c r="AK58" i="1" s="1"/>
  <c r="AJ59" i="1"/>
  <c r="AK59" i="1" s="1"/>
  <c r="AJ60" i="1"/>
  <c r="AK60" i="1" s="1"/>
  <c r="AJ61" i="1"/>
  <c r="AK61" i="1" s="1"/>
  <c r="AJ62" i="1"/>
  <c r="AJ64" i="1"/>
  <c r="AK64" i="1" s="1"/>
  <c r="AJ65" i="1"/>
  <c r="AK65" i="1" s="1"/>
  <c r="AJ66" i="1"/>
  <c r="AK66" i="1" s="1"/>
  <c r="AJ67" i="1"/>
  <c r="AK67" i="1" s="1"/>
  <c r="AJ68" i="1"/>
  <c r="AK68" i="1" s="1"/>
  <c r="AJ69" i="1"/>
  <c r="AK69" i="1" s="1"/>
  <c r="AJ70" i="1"/>
  <c r="AJ72" i="1"/>
  <c r="AK72" i="1" s="1"/>
  <c r="AJ73" i="1"/>
  <c r="AK73" i="1" s="1"/>
  <c r="AJ74" i="1"/>
  <c r="AK74" i="1" s="1"/>
  <c r="AJ75" i="1"/>
  <c r="AK75" i="1" s="1"/>
  <c r="AJ76" i="1"/>
  <c r="AK76" i="1" s="1"/>
  <c r="AJ77" i="1"/>
  <c r="AK77" i="1" s="1"/>
  <c r="AJ78" i="1"/>
  <c r="AK78" i="1" s="1"/>
  <c r="AI71" i="1" s="1"/>
  <c r="AJ80" i="1"/>
  <c r="AK80" i="1" s="1"/>
  <c r="AJ81" i="1"/>
  <c r="AK81" i="1" s="1"/>
  <c r="AJ82" i="1"/>
  <c r="AK82" i="1" s="1"/>
  <c r="AJ83" i="1"/>
  <c r="AK83" i="1" s="1"/>
  <c r="AJ84" i="1"/>
  <c r="AK84" i="1" s="1"/>
  <c r="AJ85" i="1"/>
  <c r="AK85" i="1" s="1"/>
  <c r="AJ86" i="1"/>
  <c r="AK86" i="1" s="1"/>
  <c r="AI79" i="1" s="1"/>
  <c r="AJ88" i="1"/>
  <c r="AK88" i="1" s="1"/>
  <c r="AJ89" i="1"/>
  <c r="AK89" i="1" s="1"/>
  <c r="AJ90" i="1"/>
  <c r="AK90" i="1" s="1"/>
  <c r="AJ91" i="1"/>
  <c r="AK91" i="1" s="1"/>
  <c r="AJ92" i="1"/>
  <c r="AK92" i="1" s="1"/>
  <c r="AJ93" i="1"/>
  <c r="AK93" i="1" s="1"/>
  <c r="AJ94" i="1"/>
  <c r="AK94" i="1" s="1"/>
  <c r="AI87" i="1" s="1"/>
  <c r="AJ96" i="1"/>
  <c r="AK96" i="1" s="1"/>
  <c r="AJ97" i="1"/>
  <c r="AK97" i="1" s="1"/>
  <c r="AJ98" i="1"/>
  <c r="AK98" i="1" s="1"/>
  <c r="AJ99" i="1"/>
  <c r="AK99" i="1" s="1"/>
  <c r="AJ100" i="1"/>
  <c r="AK100" i="1" s="1"/>
  <c r="AJ101" i="1"/>
  <c r="AK101" i="1" s="1"/>
  <c r="AJ102" i="1"/>
  <c r="AK102" i="1" s="1"/>
  <c r="AI95" i="1" s="1"/>
  <c r="AJ104" i="1"/>
  <c r="AK104" i="1" s="1"/>
  <c r="AJ105" i="1"/>
  <c r="AK105" i="1" s="1"/>
  <c r="AJ106" i="1"/>
  <c r="AK106" i="1" s="1"/>
  <c r="AJ107" i="1"/>
  <c r="AK107" i="1" s="1"/>
  <c r="AJ108" i="1"/>
  <c r="AK108" i="1" s="1"/>
  <c r="AJ109" i="1"/>
  <c r="AK109" i="1" s="1"/>
  <c r="AI103" i="1" s="1"/>
  <c r="AJ110" i="1"/>
  <c r="AK110" i="1" s="1"/>
  <c r="AJ112" i="1"/>
  <c r="AK112" i="1" s="1"/>
  <c r="AJ113" i="1"/>
  <c r="AK113" i="1" s="1"/>
  <c r="AJ114" i="1"/>
  <c r="AK114" i="1" s="1"/>
  <c r="AJ115" i="1"/>
  <c r="AK115" i="1" s="1"/>
  <c r="AJ116" i="1"/>
  <c r="AK116" i="1" s="1"/>
  <c r="AJ117" i="1"/>
  <c r="AK117" i="1" s="1"/>
  <c r="AJ118" i="1"/>
  <c r="AK118" i="1" s="1"/>
  <c r="AI111" i="1" s="1"/>
  <c r="AJ120" i="1"/>
  <c r="AK120" i="1" s="1"/>
  <c r="AJ121" i="1"/>
  <c r="AK121" i="1" s="1"/>
  <c r="AJ122" i="1"/>
  <c r="AK122" i="1" s="1"/>
  <c r="AJ123" i="1"/>
  <c r="AK123" i="1" s="1"/>
  <c r="AJ124" i="1"/>
  <c r="AK124" i="1" s="1"/>
  <c r="AJ125" i="1"/>
  <c r="AK125" i="1" s="1"/>
  <c r="AJ126" i="1"/>
  <c r="AK126" i="1" s="1"/>
  <c r="AI119" i="1" s="1"/>
  <c r="AJ128" i="1"/>
  <c r="AK128" i="1" s="1"/>
  <c r="AJ129" i="1"/>
  <c r="AK129" i="1" s="1"/>
  <c r="AJ130" i="1"/>
  <c r="AK130" i="1" s="1"/>
  <c r="AJ131" i="1"/>
  <c r="AK131" i="1" s="1"/>
  <c r="AJ132" i="1"/>
  <c r="AK132" i="1" s="1"/>
  <c r="AJ133" i="1"/>
  <c r="AK133" i="1" s="1"/>
  <c r="AJ134" i="1"/>
  <c r="AK134" i="1" s="1"/>
  <c r="AI127" i="1" s="1"/>
  <c r="AJ136" i="1"/>
  <c r="AK136" i="1" s="1"/>
  <c r="AJ137" i="1"/>
  <c r="AK137" i="1" s="1"/>
  <c r="AJ138" i="1"/>
  <c r="AK138" i="1" s="1"/>
  <c r="AJ139" i="1"/>
  <c r="AK139" i="1" s="1"/>
  <c r="AJ140" i="1"/>
  <c r="AK140" i="1" s="1"/>
  <c r="AJ141" i="1"/>
  <c r="AK141" i="1" s="1"/>
  <c r="AJ142" i="1"/>
  <c r="AK142" i="1" s="1"/>
  <c r="AI135" i="1" s="1"/>
  <c r="AJ144" i="1"/>
  <c r="AK144" i="1" s="1"/>
  <c r="AJ145" i="1"/>
  <c r="AK145" i="1" s="1"/>
  <c r="AJ146" i="1"/>
  <c r="AK146" i="1" s="1"/>
  <c r="AJ147" i="1"/>
  <c r="AK147" i="1" s="1"/>
  <c r="AJ148" i="1"/>
  <c r="AK148" i="1" s="1"/>
  <c r="AJ149" i="1"/>
  <c r="AK149" i="1" s="1"/>
  <c r="AJ150" i="1"/>
  <c r="AK150" i="1" s="1"/>
  <c r="AI143" i="1" s="1"/>
  <c r="AJ152" i="1"/>
  <c r="AK152" i="1" s="1"/>
  <c r="AJ153" i="1"/>
  <c r="AK153" i="1" s="1"/>
  <c r="AJ154" i="1"/>
  <c r="AK154" i="1" s="1"/>
  <c r="AJ155" i="1"/>
  <c r="AK155" i="1" s="1"/>
  <c r="AJ156" i="1"/>
  <c r="AK156" i="1" s="1"/>
  <c r="AJ157" i="1"/>
  <c r="AK157" i="1" s="1"/>
  <c r="AJ158" i="1"/>
  <c r="AK158" i="1" s="1"/>
  <c r="AI151" i="1" s="1"/>
  <c r="AJ160" i="1"/>
  <c r="AK160" i="1" s="1"/>
  <c r="AJ161" i="1"/>
  <c r="AK161" i="1" s="1"/>
  <c r="AJ162" i="1"/>
  <c r="AK162" i="1" s="1"/>
  <c r="AJ163" i="1"/>
  <c r="AK163" i="1" s="1"/>
  <c r="AJ164" i="1"/>
  <c r="AK164" i="1" s="1"/>
  <c r="AJ165" i="1"/>
  <c r="AK165" i="1" s="1"/>
  <c r="AJ166" i="1"/>
  <c r="AK166" i="1" s="1"/>
  <c r="AI159" i="1" s="1"/>
  <c r="AJ168" i="1"/>
  <c r="AK168" i="1" s="1"/>
  <c r="AJ169" i="1"/>
  <c r="AK169" i="1" s="1"/>
  <c r="AJ170" i="1"/>
  <c r="AK170" i="1" s="1"/>
  <c r="AJ171" i="1"/>
  <c r="AK171" i="1" s="1"/>
  <c r="AJ172" i="1"/>
  <c r="AK172" i="1" s="1"/>
  <c r="AI167" i="1" s="1"/>
  <c r="AJ174" i="1"/>
  <c r="AK174" i="1" s="1"/>
  <c r="AJ175" i="1"/>
  <c r="AK175" i="1" s="1"/>
  <c r="AJ176" i="1"/>
  <c r="AK176" i="1" s="1"/>
  <c r="AJ177" i="1"/>
  <c r="AK177" i="1" s="1"/>
  <c r="AJ178" i="1"/>
  <c r="AK178" i="1" s="1"/>
  <c r="AI173" i="1" s="1"/>
  <c r="AJ180" i="1"/>
  <c r="AK180" i="1" s="1"/>
  <c r="AJ181" i="1"/>
  <c r="AK181" i="1" s="1"/>
  <c r="AJ182" i="1"/>
  <c r="AK182" i="1" s="1"/>
  <c r="AJ183" i="1"/>
  <c r="AK183" i="1" s="1"/>
  <c r="AJ184" i="1"/>
  <c r="AK184" i="1" s="1"/>
  <c r="AI179" i="1" s="1"/>
  <c r="AJ186" i="1"/>
  <c r="AK186" i="1" s="1"/>
  <c r="AJ187" i="1"/>
  <c r="AK187" i="1" s="1"/>
  <c r="AJ188" i="1"/>
  <c r="AK188" i="1" s="1"/>
  <c r="AJ189" i="1"/>
  <c r="AK189" i="1" s="1"/>
  <c r="AJ190" i="1"/>
  <c r="AK190" i="1" s="1"/>
  <c r="AJ191" i="1"/>
  <c r="AK191" i="1" s="1"/>
  <c r="AJ192" i="1"/>
  <c r="AK192" i="1" s="1"/>
  <c r="AJ193" i="1"/>
  <c r="AK193" i="1" s="1"/>
  <c r="AJ194" i="1"/>
  <c r="AK194" i="1" s="1"/>
  <c r="AI185" i="1" s="1"/>
  <c r="AJ196" i="1"/>
  <c r="AK196" i="1" s="1"/>
  <c r="AJ197" i="1"/>
  <c r="AK197" i="1" s="1"/>
  <c r="AJ198" i="1"/>
  <c r="AK198" i="1" s="1"/>
  <c r="AJ199" i="1"/>
  <c r="AK199" i="1" s="1"/>
  <c r="AJ200" i="1"/>
  <c r="AK200" i="1" s="1"/>
  <c r="AJ201" i="1"/>
  <c r="AK201" i="1" s="1"/>
  <c r="AJ202" i="1"/>
  <c r="AK202" i="1" s="1"/>
  <c r="AJ203" i="1"/>
  <c r="AK203" i="1" s="1"/>
  <c r="AJ204" i="1"/>
  <c r="AK204" i="1" s="1"/>
  <c r="AI195" i="1" s="1"/>
  <c r="AJ206" i="1"/>
  <c r="AK206" i="1" s="1"/>
  <c r="AJ207" i="1"/>
  <c r="AK207" i="1" s="1"/>
  <c r="AJ208" i="1"/>
  <c r="AK208" i="1" s="1"/>
  <c r="AJ209" i="1"/>
  <c r="AK209" i="1" s="1"/>
  <c r="AJ210" i="1"/>
  <c r="AK210" i="1" s="1"/>
  <c r="AJ211" i="1"/>
  <c r="AK211" i="1" s="1"/>
  <c r="AJ212" i="1"/>
  <c r="AK212" i="1" s="1"/>
  <c r="AJ213" i="1"/>
  <c r="AK213" i="1" s="1"/>
  <c r="AJ214" i="1"/>
  <c r="AK214" i="1" s="1"/>
  <c r="AI205" i="1" s="1"/>
  <c r="AJ216" i="1"/>
  <c r="AK216" i="1" s="1"/>
  <c r="AJ217" i="1"/>
  <c r="AK217" i="1" s="1"/>
  <c r="AJ218" i="1"/>
  <c r="AK218" i="1" s="1"/>
  <c r="AJ219" i="1"/>
  <c r="AK219" i="1" s="1"/>
  <c r="AJ220" i="1"/>
  <c r="AK220" i="1" s="1"/>
  <c r="AJ221" i="1"/>
  <c r="AK221" i="1" s="1"/>
  <c r="AJ222" i="1"/>
  <c r="AK222" i="1" s="1"/>
  <c r="AI215" i="1" s="1"/>
  <c r="AJ224" i="1"/>
  <c r="AK224" i="1" s="1"/>
  <c r="AJ225" i="1"/>
  <c r="AK225" i="1" s="1"/>
  <c r="AJ226" i="1"/>
  <c r="AK226" i="1" s="1"/>
  <c r="AJ227" i="1"/>
  <c r="AK227" i="1" s="1"/>
  <c r="AJ228" i="1"/>
  <c r="AK228" i="1" s="1"/>
  <c r="AJ229" i="1"/>
  <c r="AK229" i="1" s="1"/>
  <c r="AJ230" i="1"/>
  <c r="AK230" i="1" s="1"/>
  <c r="AI223" i="1" s="1"/>
  <c r="AJ232" i="1"/>
  <c r="AK232" i="1" s="1"/>
  <c r="AJ233" i="1"/>
  <c r="AK233" i="1" s="1"/>
  <c r="AJ234" i="1"/>
  <c r="AK234" i="1" s="1"/>
  <c r="AJ235" i="1"/>
  <c r="AK235" i="1" s="1"/>
  <c r="AJ236" i="1"/>
  <c r="AK236" i="1" s="1"/>
  <c r="AJ237" i="1"/>
  <c r="AK237" i="1" s="1"/>
  <c r="AJ238" i="1"/>
  <c r="AK238" i="1" s="1"/>
  <c r="AI231" i="1" s="1"/>
  <c r="AJ240" i="1"/>
  <c r="AK240" i="1" s="1"/>
  <c r="AJ241" i="1"/>
  <c r="AK241" i="1" s="1"/>
  <c r="AJ242" i="1"/>
  <c r="AK242" i="1" s="1"/>
  <c r="AJ243" i="1"/>
  <c r="AK243" i="1" s="1"/>
  <c r="AJ244" i="1"/>
  <c r="AK244" i="1" s="1"/>
  <c r="AJ245" i="1"/>
  <c r="AK245" i="1" s="1"/>
  <c r="AJ246" i="1"/>
  <c r="AK246" i="1" s="1"/>
  <c r="AI239" i="1" s="1"/>
  <c r="AJ248" i="1"/>
  <c r="AK248" i="1" s="1"/>
  <c r="AJ249" i="1"/>
  <c r="AK249" i="1" s="1"/>
  <c r="AJ250" i="1"/>
  <c r="AK250" i="1" s="1"/>
  <c r="AJ251" i="1"/>
  <c r="AK251" i="1" s="1"/>
  <c r="AJ252" i="1"/>
  <c r="AK252" i="1" s="1"/>
  <c r="AJ253" i="1"/>
  <c r="AK253" i="1" s="1"/>
  <c r="AJ254" i="1"/>
  <c r="AK254" i="1" s="1"/>
  <c r="AI247" i="1" s="1"/>
  <c r="AJ256" i="1"/>
  <c r="AK256" i="1" s="1"/>
  <c r="AJ257" i="1"/>
  <c r="AK257" i="1" s="1"/>
  <c r="AJ258" i="1"/>
  <c r="AK258" i="1" s="1"/>
  <c r="AJ259" i="1"/>
  <c r="AK259" i="1" s="1"/>
  <c r="AJ260" i="1"/>
  <c r="AK260" i="1" s="1"/>
  <c r="AJ261" i="1"/>
  <c r="AK261" i="1" s="1"/>
  <c r="AJ262" i="1"/>
  <c r="AK262" i="1" s="1"/>
  <c r="AI255" i="1" s="1"/>
  <c r="AJ264" i="1"/>
  <c r="AK264" i="1" s="1"/>
  <c r="AJ265" i="1"/>
  <c r="AK265" i="1" s="1"/>
  <c r="AJ266" i="1"/>
  <c r="AK266" i="1" s="1"/>
  <c r="AJ267" i="1"/>
  <c r="AK267" i="1" s="1"/>
  <c r="AJ268" i="1"/>
  <c r="AK268" i="1" s="1"/>
  <c r="AJ269" i="1"/>
  <c r="AK269" i="1" s="1"/>
  <c r="AJ270" i="1"/>
  <c r="AK270" i="1" s="1"/>
  <c r="AI263" i="1" s="1"/>
  <c r="AJ272" i="1"/>
  <c r="AK272" i="1" s="1"/>
  <c r="AJ273" i="1"/>
  <c r="AK273" i="1" s="1"/>
  <c r="AJ274" i="1"/>
  <c r="AK274" i="1" s="1"/>
  <c r="AJ275" i="1"/>
  <c r="AK275" i="1" s="1"/>
  <c r="AJ276" i="1"/>
  <c r="AK276" i="1" s="1"/>
  <c r="AJ277" i="1"/>
  <c r="AK277" i="1" s="1"/>
  <c r="AJ278" i="1"/>
  <c r="AK278" i="1" s="1"/>
  <c r="AI271" i="1" s="1"/>
  <c r="AJ280" i="1"/>
  <c r="AK280" i="1" s="1"/>
  <c r="AJ281" i="1"/>
  <c r="AK281" i="1" s="1"/>
  <c r="AJ282" i="1"/>
  <c r="AK282" i="1" s="1"/>
  <c r="AJ283" i="1"/>
  <c r="AK283" i="1" s="1"/>
  <c r="AJ284" i="1"/>
  <c r="AK284" i="1" s="1"/>
  <c r="AJ285" i="1"/>
  <c r="AK285" i="1" s="1"/>
  <c r="AJ286" i="1"/>
  <c r="AK286" i="1" s="1"/>
  <c r="AI279" i="1" s="1"/>
  <c r="AJ288" i="1"/>
  <c r="AK288" i="1" s="1"/>
  <c r="AJ289" i="1"/>
  <c r="AK289" i="1" s="1"/>
  <c r="AJ290" i="1"/>
  <c r="AK290" i="1" s="1"/>
  <c r="AJ291" i="1"/>
  <c r="AK291" i="1" s="1"/>
  <c r="AJ292" i="1"/>
  <c r="AK292" i="1" s="1"/>
  <c r="AJ293" i="1"/>
  <c r="AK293" i="1" s="1"/>
  <c r="AJ294" i="1"/>
  <c r="AK294" i="1" s="1"/>
  <c r="AI287" i="1" s="1"/>
  <c r="AJ296" i="1"/>
  <c r="AK296" i="1" s="1"/>
  <c r="AJ297" i="1"/>
  <c r="AK297" i="1" s="1"/>
  <c r="AJ298" i="1"/>
  <c r="AK298" i="1" s="1"/>
  <c r="AJ299" i="1"/>
  <c r="AK299" i="1" s="1"/>
  <c r="AJ300" i="1"/>
  <c r="AK300" i="1" s="1"/>
  <c r="AI295" i="1" s="1"/>
  <c r="AJ302" i="1"/>
  <c r="AK302" i="1" s="1"/>
  <c r="AJ303" i="1"/>
  <c r="AK303" i="1" s="1"/>
  <c r="AJ304" i="1"/>
  <c r="AK304" i="1" s="1"/>
  <c r="AJ305" i="1"/>
  <c r="AK305" i="1" s="1"/>
  <c r="AJ306" i="1"/>
  <c r="AK306" i="1" s="1"/>
  <c r="AI301" i="1" s="1"/>
  <c r="AJ308" i="1"/>
  <c r="AK308" i="1" s="1"/>
  <c r="AJ309" i="1"/>
  <c r="AK309" i="1" s="1"/>
  <c r="AJ310" i="1"/>
  <c r="AK310" i="1" s="1"/>
  <c r="AJ311" i="1"/>
  <c r="AK311" i="1" s="1"/>
  <c r="AJ312" i="1"/>
  <c r="AK312" i="1" s="1"/>
  <c r="AI307" i="1" s="1"/>
  <c r="AJ314" i="1"/>
  <c r="AK314" i="1" s="1"/>
  <c r="AJ315" i="1"/>
  <c r="AK315" i="1" s="1"/>
  <c r="AJ316" i="1"/>
  <c r="AK316" i="1" s="1"/>
  <c r="AJ317" i="1"/>
  <c r="AK317" i="1" s="1"/>
  <c r="AJ318" i="1"/>
  <c r="AK318" i="1" s="1"/>
  <c r="AI313" i="1" s="1"/>
  <c r="AJ320" i="1"/>
  <c r="AK320" i="1" s="1"/>
  <c r="AJ321" i="1"/>
  <c r="AK321" i="1" s="1"/>
  <c r="AJ322" i="1"/>
  <c r="AK322" i="1" s="1"/>
  <c r="AJ323" i="1"/>
  <c r="AK323" i="1" s="1"/>
  <c r="AJ324" i="1"/>
  <c r="AK324" i="1" s="1"/>
  <c r="AI319" i="1" s="1"/>
  <c r="AJ326" i="1"/>
  <c r="AK326" i="1" s="1"/>
  <c r="AJ327" i="1"/>
  <c r="AK327" i="1" s="1"/>
  <c r="AJ328" i="1"/>
  <c r="AK328" i="1" s="1"/>
  <c r="AJ329" i="1"/>
  <c r="AK329" i="1" s="1"/>
  <c r="AJ330" i="1"/>
  <c r="AK330" i="1" s="1"/>
  <c r="AI325" i="1" s="1"/>
  <c r="AJ332" i="1"/>
  <c r="AK332" i="1" s="1"/>
  <c r="AJ333" i="1"/>
  <c r="AK333" i="1" s="1"/>
  <c r="AJ334" i="1"/>
  <c r="AK334" i="1" s="1"/>
  <c r="AJ335" i="1"/>
  <c r="AK335" i="1" s="1"/>
  <c r="AJ336" i="1"/>
  <c r="AK336" i="1" s="1"/>
  <c r="AI331" i="1" s="1"/>
  <c r="AJ338" i="1"/>
  <c r="AK338" i="1" s="1"/>
  <c r="AJ339" i="1"/>
  <c r="AK339" i="1" s="1"/>
  <c r="AJ340" i="1"/>
  <c r="AK340" i="1" s="1"/>
  <c r="AJ341" i="1"/>
  <c r="AK341" i="1" s="1"/>
  <c r="AJ342" i="1"/>
  <c r="AK342" i="1" s="1"/>
  <c r="AI337" i="1" s="1"/>
  <c r="AJ344" i="1"/>
  <c r="AK344" i="1" s="1"/>
  <c r="AJ345" i="1"/>
  <c r="AK345" i="1" s="1"/>
  <c r="AJ346" i="1"/>
  <c r="AK346" i="1" s="1"/>
  <c r="AJ347" i="1"/>
  <c r="AK347" i="1" s="1"/>
  <c r="AJ348" i="1"/>
  <c r="AK348" i="1" s="1"/>
  <c r="AI343" i="1" s="1"/>
  <c r="AJ5" i="1"/>
  <c r="AK5" i="1" s="1"/>
  <c r="AQ381" i="1" l="1"/>
  <c r="AS381" i="1" s="1"/>
  <c r="AR381" i="1"/>
  <c r="AR389" i="1"/>
  <c r="AQ389" i="1"/>
  <c r="AS389" i="1" s="1"/>
  <c r="AQ397" i="1"/>
  <c r="AS397" i="1" s="1"/>
  <c r="AR397" i="1"/>
  <c r="AQ405" i="1"/>
  <c r="AS405" i="1" s="1"/>
  <c r="AR405" i="1"/>
  <c r="AQ413" i="1"/>
  <c r="AS413" i="1" s="1"/>
  <c r="AR413" i="1"/>
  <c r="AQ461" i="1"/>
  <c r="AS461" i="1" s="1"/>
  <c r="AR461" i="1"/>
  <c r="AQ469" i="1"/>
  <c r="AS469" i="1" s="1"/>
  <c r="AR469" i="1"/>
  <c r="AQ517" i="1"/>
  <c r="AS517" i="1" s="1"/>
  <c r="AR517" i="1"/>
  <c r="AR525" i="1"/>
  <c r="AQ525" i="1"/>
  <c r="AS525" i="1" s="1"/>
  <c r="AR533" i="1"/>
  <c r="AQ533" i="1"/>
  <c r="AS533" i="1" s="1"/>
  <c r="AQ541" i="1"/>
  <c r="AS541" i="1" s="1"/>
  <c r="AR541" i="1"/>
  <c r="AQ549" i="1"/>
  <c r="AS549" i="1" s="1"/>
  <c r="AR549" i="1"/>
  <c r="AQ557" i="1"/>
  <c r="AS557" i="1" s="1"/>
  <c r="AR557" i="1"/>
  <c r="AQ565" i="1"/>
  <c r="AS565" i="1" s="1"/>
  <c r="AR565" i="1"/>
  <c r="AR573" i="1"/>
  <c r="AQ573" i="1"/>
  <c r="AS573" i="1" s="1"/>
  <c r="AQ581" i="1"/>
  <c r="AS581" i="1" s="1"/>
  <c r="AR581" i="1"/>
  <c r="AR589" i="1"/>
  <c r="AQ589" i="1"/>
  <c r="AS589" i="1" s="1"/>
  <c r="AR597" i="1"/>
  <c r="AQ597" i="1"/>
  <c r="AS597" i="1" s="1"/>
  <c r="AQ605" i="1"/>
  <c r="AS605" i="1" s="1"/>
  <c r="AR605" i="1"/>
  <c r="AR613" i="1"/>
  <c r="AQ613" i="1"/>
  <c r="AS613" i="1" s="1"/>
  <c r="AQ4" i="1"/>
  <c r="AS4" i="1" s="1"/>
  <c r="AR4" i="1"/>
  <c r="AR11" i="1"/>
  <c r="AQ11" i="1"/>
  <c r="AS11" i="1" s="1"/>
  <c r="AQ18" i="1"/>
  <c r="AS18" i="1" s="1"/>
  <c r="AR18" i="1"/>
  <c r="AQ25" i="1"/>
  <c r="AS25" i="1" s="1"/>
  <c r="AR25" i="1"/>
  <c r="AR32" i="1"/>
  <c r="AQ32" i="1"/>
  <c r="AS32" i="1" s="1"/>
  <c r="AR39" i="1"/>
  <c r="AQ39" i="1"/>
  <c r="AS39" i="1" s="1"/>
  <c r="AR47" i="1"/>
  <c r="AQ47" i="1"/>
  <c r="AS47" i="1" s="1"/>
  <c r="AR55" i="1"/>
  <c r="AQ55" i="1"/>
  <c r="AS55" i="1" s="1"/>
  <c r="AQ63" i="1"/>
  <c r="AS63" i="1" s="1"/>
  <c r="AR63" i="1"/>
  <c r="AQ127" i="1"/>
  <c r="AS127" i="1" s="1"/>
  <c r="AR127" i="1"/>
  <c r="AR135" i="1"/>
  <c r="AQ135" i="1"/>
  <c r="AS135" i="1" s="1"/>
  <c r="AQ143" i="1"/>
  <c r="AS143" i="1" s="1"/>
  <c r="AR143" i="1"/>
  <c r="AR151" i="1"/>
  <c r="AQ151" i="1"/>
  <c r="AS151" i="1" s="1"/>
  <c r="AR159" i="1"/>
  <c r="AQ159" i="1"/>
  <c r="AS159" i="1" s="1"/>
  <c r="AR167" i="1"/>
  <c r="AQ167" i="1"/>
  <c r="AS167" i="1" s="1"/>
  <c r="AR173" i="1"/>
  <c r="AQ173" i="1"/>
  <c r="AS173" i="1" s="1"/>
  <c r="AR179" i="1"/>
  <c r="AQ179" i="1"/>
  <c r="AS179" i="1" s="1"/>
  <c r="AR185" i="1"/>
  <c r="AQ185" i="1"/>
  <c r="AS185" i="1" s="1"/>
  <c r="AR195" i="1"/>
  <c r="AQ195" i="1"/>
  <c r="AS195" i="1" s="1"/>
  <c r="AR205" i="1"/>
  <c r="AQ205" i="1"/>
  <c r="AS205" i="1" s="1"/>
  <c r="AQ215" i="1"/>
  <c r="AS215" i="1" s="1"/>
  <c r="AR215" i="1"/>
  <c r="AQ223" i="1"/>
  <c r="AS223" i="1" s="1"/>
  <c r="AR223" i="1"/>
  <c r="AR231" i="1"/>
  <c r="AQ231" i="1"/>
  <c r="AS231" i="1" s="1"/>
  <c r="AQ239" i="1"/>
  <c r="AS239" i="1" s="1"/>
  <c r="AR239" i="1"/>
  <c r="AR247" i="1"/>
  <c r="AQ247" i="1"/>
  <c r="AS247" i="1" s="1"/>
  <c r="AQ255" i="1"/>
  <c r="AS255" i="1" s="1"/>
  <c r="AR255" i="1"/>
  <c r="AR263" i="1"/>
  <c r="AQ263" i="1"/>
  <c r="AS263" i="1" s="1"/>
  <c r="AR271" i="1"/>
  <c r="AQ271" i="1"/>
  <c r="AS271" i="1" s="1"/>
  <c r="AR279" i="1"/>
  <c r="AQ279" i="1"/>
  <c r="AS279" i="1" s="1"/>
  <c r="AQ287" i="1"/>
  <c r="AS287" i="1" s="1"/>
  <c r="AR287" i="1"/>
  <c r="AR295" i="1"/>
  <c r="AQ295" i="1"/>
  <c r="AS295" i="1" s="1"/>
  <c r="AQ301" i="1"/>
  <c r="AS301" i="1" s="1"/>
  <c r="AR301" i="1"/>
  <c r="AQ307" i="1"/>
  <c r="AS307" i="1" s="1"/>
  <c r="AR307" i="1"/>
  <c r="AQ313" i="1"/>
  <c r="AS313" i="1" s="1"/>
  <c r="AR313" i="1"/>
  <c r="AR319" i="1"/>
  <c r="AQ319" i="1"/>
  <c r="AS319" i="1" s="1"/>
  <c r="AQ325" i="1"/>
  <c r="AS325" i="1" s="1"/>
  <c r="AR325" i="1"/>
  <c r="AR331" i="1"/>
  <c r="AQ331" i="1"/>
  <c r="AS331" i="1" s="1"/>
  <c r="AR337" i="1"/>
  <c r="AQ337" i="1"/>
  <c r="AS337" i="1" s="1"/>
  <c r="AQ343" i="1"/>
  <c r="AS343" i="1" s="1"/>
  <c r="AR343" i="1"/>
  <c r="AQ349" i="1"/>
  <c r="AS349" i="1" s="1"/>
  <c r="AR349" i="1"/>
  <c r="AK349" i="1"/>
  <c r="AN349" i="1"/>
  <c r="AO349" i="1"/>
  <c r="AK350" i="1"/>
  <c r="AN350" i="1"/>
  <c r="AO350" i="1"/>
  <c r="AK351" i="1"/>
  <c r="AN351" i="1"/>
  <c r="AO351" i="1"/>
  <c r="AK352" i="1"/>
  <c r="AN352" i="1"/>
  <c r="AO352" i="1"/>
  <c r="AK353" i="1"/>
  <c r="AN353" i="1"/>
  <c r="AO353" i="1"/>
  <c r="AK354" i="1"/>
  <c r="AN354" i="1"/>
  <c r="AO354" i="1"/>
  <c r="AK355" i="1"/>
  <c r="AN355" i="1"/>
  <c r="AO355" i="1"/>
  <c r="AK356" i="1"/>
  <c r="AN356" i="1"/>
  <c r="AO356" i="1"/>
  <c r="AK357" i="1"/>
  <c r="AN357" i="1"/>
  <c r="AO357" i="1"/>
  <c r="AK358" i="1"/>
  <c r="AO358" i="1"/>
  <c r="AN358" i="1"/>
  <c r="AK359" i="1"/>
  <c r="AO359" i="1"/>
  <c r="AN359" i="1"/>
  <c r="AK360" i="1"/>
  <c r="AO360" i="1"/>
  <c r="AN360" i="1"/>
  <c r="AN361" i="1"/>
  <c r="AK361" i="1"/>
  <c r="AO361" i="1"/>
  <c r="AK362" i="1"/>
  <c r="AN362" i="1"/>
  <c r="AO362" i="1"/>
  <c r="AK363" i="1"/>
  <c r="AN363" i="1"/>
  <c r="AO363" i="1"/>
  <c r="AK364" i="1"/>
  <c r="AN364" i="1"/>
  <c r="AO364" i="1"/>
  <c r="AK365" i="1"/>
  <c r="AN365" i="1"/>
  <c r="AO365" i="1"/>
  <c r="AK366" i="1"/>
  <c r="AN366" i="1"/>
  <c r="AO366" i="1"/>
  <c r="AK367" i="1"/>
  <c r="AN367" i="1"/>
  <c r="AO367" i="1"/>
  <c r="AK368" i="1"/>
  <c r="AN368" i="1"/>
  <c r="AO368" i="1"/>
  <c r="AK369" i="1"/>
  <c r="AN369" i="1"/>
  <c r="AO369" i="1"/>
  <c r="AK370" i="1"/>
  <c r="AN370" i="1"/>
  <c r="AO370" i="1"/>
  <c r="AK62" i="1"/>
  <c r="AI55" i="1" s="1"/>
  <c r="AK70" i="1"/>
  <c r="AI63" i="1" s="1"/>
  <c r="AK54" i="1"/>
  <c r="AI47" i="1" s="1"/>
  <c r="AK39" i="1"/>
  <c r="AK32" i="1"/>
  <c r="AK25" i="1"/>
  <c r="AK18" i="1"/>
  <c r="AK11" i="1"/>
  <c r="AI11" i="1" s="1"/>
  <c r="AI4" i="1"/>
</calcChain>
</file>

<file path=xl/sharedStrings.xml><?xml version="1.0" encoding="utf-8"?>
<sst xmlns="http://schemas.openxmlformats.org/spreadsheetml/2006/main" count="3047" uniqueCount="211">
  <si>
    <t>No</t>
  </si>
  <si>
    <t>Micropollutant characteristics</t>
  </si>
  <si>
    <t>Material characteristics</t>
  </si>
  <si>
    <t>Oxidants (PAA, H2O2, PMS, PDS)</t>
  </si>
  <si>
    <t>Operational conditions</t>
  </si>
  <si>
    <t>Removal efficiency (%)</t>
  </si>
  <si>
    <t>Degradation kinetics (kobs min-1)</t>
  </si>
  <si>
    <t>Name</t>
  </si>
  <si>
    <t>MW</t>
  </si>
  <si>
    <t>LogKow</t>
  </si>
  <si>
    <t>E</t>
  </si>
  <si>
    <t>S</t>
  </si>
  <si>
    <t>A</t>
  </si>
  <si>
    <t>B</t>
  </si>
  <si>
    <t>V</t>
  </si>
  <si>
    <t>Type/Name</t>
  </si>
  <si>
    <t>Support type</t>
  </si>
  <si>
    <t>Size</t>
  </si>
  <si>
    <t>SBET</t>
  </si>
  <si>
    <t>Pore volume</t>
  </si>
  <si>
    <t>pHpzc</t>
  </si>
  <si>
    <t>2Theta</t>
  </si>
  <si>
    <t>O-O bond dissociation energy</t>
  </si>
  <si>
    <t>standard reduction potential</t>
  </si>
  <si>
    <t>pKa</t>
  </si>
  <si>
    <t>Catalyst dosage</t>
  </si>
  <si>
    <t>Oxidant dosage</t>
  </si>
  <si>
    <t>Micropollutant concentration</t>
  </si>
  <si>
    <t>Time (min)</t>
  </si>
  <si>
    <t>pH</t>
  </si>
  <si>
    <t>Water Temp</t>
  </si>
  <si>
    <t>Anions Types</t>
  </si>
  <si>
    <t>Anions Concentration</t>
  </si>
  <si>
    <t>NOM or DOM Types</t>
  </si>
  <si>
    <t>DOM concentration</t>
  </si>
  <si>
    <t>g/mol</t>
  </si>
  <si>
    <t>Unit</t>
  </si>
  <si>
    <t>nm</t>
  </si>
  <si>
    <t>m2/g</t>
  </si>
  <si>
    <t>cm3/g</t>
  </si>
  <si>
    <t>kJ/mol</t>
  </si>
  <si>
    <t>VNHE</t>
  </si>
  <si>
    <t>g/L</t>
  </si>
  <si>
    <t xml:space="preserve">mM </t>
  </si>
  <si>
    <t>mM</t>
  </si>
  <si>
    <t>oC</t>
  </si>
  <si>
    <t>mg/L</t>
  </si>
  <si>
    <t>Yin Xu JHM 2016 (Figure 2a)</t>
  </si>
  <si>
    <t>Bisphenol A (BPA)</t>
  </si>
  <si>
    <t>CuFe2O4</t>
  </si>
  <si>
    <t>None</t>
  </si>
  <si>
    <t>room temperature</t>
  </si>
  <si>
    <t>Peroxymonosulfate (PMS, HSO₅⁻)</t>
  </si>
  <si>
    <t>CuO</t>
  </si>
  <si>
    <t>Fe2O3</t>
  </si>
  <si>
    <t>Ying Wu ChemSci 2024 (Figure 2a)</t>
  </si>
  <si>
    <t>Sulfamethoxazole (SMX)</t>
  </si>
  <si>
    <t>MAF-wyu2</t>
  </si>
  <si>
    <t>PMS</t>
  </si>
  <si>
    <t>Ying Wu ChemSci 2024 (Figure 2b)</t>
  </si>
  <si>
    <t>Ying Wu ChemSci 2024 (Figure 2c)</t>
  </si>
  <si>
    <t>Ying Wu ChemSci 2024 (Figure 2d)</t>
  </si>
  <si>
    <t>Metal-Organic Framework (MOF)</t>
  </si>
  <si>
    <t>Peroxymonosulfate (PMS)</t>
  </si>
  <si>
    <t>YongFeng EST 2016 (Figure 1a)</t>
  </si>
  <si>
    <t>Sulfadiazine (SDZ)</t>
  </si>
  <si>
    <t>phosphate</t>
  </si>
  <si>
    <t>CuFeO2RCs</t>
  </si>
  <si>
    <t>YongFeng EST 2016 (Figure 2a)</t>
  </si>
  <si>
    <t>Sulfadiazine</t>
  </si>
  <si>
    <t>Cu2O</t>
  </si>
  <si>
    <t>YongFeng EST 2016 (Figure 3a)</t>
  </si>
  <si>
    <t>peroxymonosulfate (PMS)</t>
  </si>
  <si>
    <t>YongFeng EST 2016 (Figure 3c)</t>
  </si>
  <si>
    <t>YongFeng EST 2016 (Figure 4a)</t>
  </si>
  <si>
    <t>Cl-</t>
  </si>
  <si>
    <t>YongFeng EST 2016 (Figure 4d)</t>
  </si>
  <si>
    <t>C/C0</t>
  </si>
  <si>
    <t>ln(C/C0)</t>
  </si>
  <si>
    <t>Old value</t>
  </si>
  <si>
    <t>Zhenlu Li JHM 2019 (Figure 3a)</t>
  </si>
  <si>
    <t>Tetracycline (TC)</t>
  </si>
  <si>
    <t>Persulfate (PS) / Sodium persulfate</t>
  </si>
  <si>
    <t>Cu/CuFe2O4</t>
  </si>
  <si>
    <t>Zhenlu Li JHM 2019 (Figure 3b)</t>
  </si>
  <si>
    <t>Zhenlu Li JHM 2019 (Figure 3c)</t>
  </si>
  <si>
    <t>Tetracycline</t>
  </si>
  <si>
    <t>Zhenlu Li JHM 2019 (Figure 4a)</t>
  </si>
  <si>
    <t>Zhenlu Li JHM 2019 (Figure 4c)</t>
  </si>
  <si>
    <t>natural</t>
  </si>
  <si>
    <t>Zhenlu Li JHM 2019 (Figure 4d)</t>
  </si>
  <si>
    <t>Zhenlu Li JHM 2019 (Figure 4e)</t>
  </si>
  <si>
    <t>Zhenlu Li JHM 2019 (Figure 5a)</t>
  </si>
  <si>
    <t>Cl</t>
  </si>
  <si>
    <t>Zhenlu Li JHM 2019 (Figure 5b)</t>
  </si>
  <si>
    <t>HCO3-</t>
  </si>
  <si>
    <t>TPSA</t>
  </si>
  <si>
    <t xml:space="preserve">Cu/CuFe2O4 </t>
  </si>
  <si>
    <t>VALIDATION LOG — Xuc Tac Data Phase 1</t>
  </si>
  <si>
    <t>Danh sách cần đối chiếu với bài báo gốc. Điền cột E–G rồi báo lại để tôi cập nhật Sheet1.</t>
  </si>
  <si>
    <t>PHẦN 1 — CÂU HỎI CẦN XÁC MINH TỪ BÀI BÁO GỐC</t>
  </si>
  <si>
    <t>#</t>
  </si>
  <si>
    <t>Bài báo</t>
  </si>
  <si>
    <t>Vị trí trong Sheet1</t>
  </si>
  <si>
    <t>Câu hỏi cần trả lời</t>
  </si>
  <si>
    <t>Giá trị hiện tại</t>
  </si>
  <si>
    <t>Giá trị đúng (bạn điền)</t>
  </si>
  <si>
    <t>Nguồn (trang/bảng/hình)</t>
  </si>
  <si>
    <t>Trạng thái</t>
  </si>
  <si>
    <t>Yin Xu, J. Hazard. Mater. 2016</t>
  </si>
  <si>
    <t>O2:O3 (tiêu đề) + O4:O38</t>
  </si>
  <si>
    <t>Cột đang ghi 'Pore volume (cm3/g)' với giá trị 8.11 / 8.62 / 15.14 — thực ra là Pore VOLUME (cm3/g) hay Pore SIZE (nm)? (4V/S cho đường kính 419–7100 nm ⇒ phi lý; đọc là nm thì V suy ra 0.01–0.16 cm3/g ⇒ hợp lý)</t>
  </si>
  <si>
    <t>8.11 (CuFe2O4) / 8.62 (CuO) / 15.14 (Fe2O3) cm3/g</t>
  </si>
  <si>
    <t>Chưa kiểm tra</t>
  </si>
  <si>
    <t>Ying Wu, Chem. Sci. 2024</t>
  </si>
  <si>
    <t>AB39:AB62 (Fig 2a)</t>
  </si>
  <si>
    <t>pH nền của Figure 2a có thật là 11 không? Cùng điều kiện danh nghĩa nhưng kobs = 0.192 (Fig2a) vs 0.382 (Fig2d) vs 0.393 (Fig2b) vs 0.557 (Fig2c) — lệch 2.9 lần</t>
  </si>
  <si>
    <t>pH = 11</t>
  </si>
  <si>
    <t>YongFeng, Environ. Sci. Technol. 2016</t>
  </si>
  <si>
    <t>Z255:Z294 (Fig 3c) + Z295:Z318 (Fig 4a)</t>
  </si>
  <si>
    <t>[SDZ] = 0.008 hay 0.088 mM? Bốn hình còn lại của cùng bài đều dùng 0.008 mM — nghi lỗi gõ</t>
  </si>
  <si>
    <t>0.088 mM (≈ 22 mg/L)</t>
  </si>
  <si>
    <t>Tất cả bài dùng PMS</t>
  </si>
  <si>
    <t>S2 + S4:S620</t>
  </si>
  <si>
    <t>PMS được cân dưới dạng nào? MW 307.28 = Oxone (2KHSO5·KHSO4·K2SO4, 614.8) chia 2. Nếu bài dùng KHSO5 (152.2) hay HSO5- (113.1) thì nồng độ mM sai hệ số 2–2.7 lần</t>
  </si>
  <si>
    <t>MW = 307.28 g/mol</t>
  </si>
  <si>
    <t>Tài liệu chung (không phụ thuộc bài)</t>
  </si>
  <si>
    <t>T4:T620</t>
  </si>
  <si>
    <t>O–O bond dissociation energy của PMS = 377 kJ/mol? Giá trị thường trích dẫn: PMS ≈ 140, H2O2 ≈ 213, PAA ≈ 159, PDS ≈ 92–140. Để 377 sẽ mâu thuẫn với chính cột E° (PMS 1.82 &lt; PDS 2.08 nhưng PMS lại dễ hoạt hóa hơn)</t>
  </si>
  <si>
    <t>377 kJ/mol (PMS) vs 92 kJ/mol (PDS)</t>
  </si>
  <si>
    <t>PHẦN 2 — DỮ LIỆU CÒN THIẾU (cần điền từ bài báo)</t>
  </si>
  <si>
    <t>Bài báo / Hình</t>
  </si>
  <si>
    <t>Vùng ô Sheet1</t>
  </si>
  <si>
    <t>Thông số thiếu</t>
  </si>
  <si>
    <t>Số dòng</t>
  </si>
  <si>
    <t>Ying Wu 2024 (Figure 2d)</t>
  </si>
  <si>
    <t>AB135:AB166</t>
  </si>
  <si>
    <t>pH — trống hoàn toàn</t>
  </si>
  <si>
    <t>Chưa điền</t>
  </si>
  <si>
    <t>AC135:AC166</t>
  </si>
  <si>
    <t>Water Temp — trống hoàn toàn</t>
  </si>
  <si>
    <t>Z135:Z166</t>
  </si>
  <si>
    <t>[SMX] — trống hoàn toàn (các hình khác cùng bài = 0.005 mM)</t>
  </si>
  <si>
    <t>Zhenlu Li 2019 (Figure 4e, 5a)</t>
  </si>
  <si>
    <t>AB525:AB588</t>
  </si>
  <si>
    <t>Zhenlu Li 2019 (Figure 4c)</t>
  </si>
  <si>
    <t>Z461:Z492</t>
  </si>
  <si>
    <t>[TC] — trống (các hình khác cùng bài = 0.11 mM)</t>
  </si>
  <si>
    <t>Zhenlu Li 2019 (Fig 4c, 4d, 5b)</t>
  </si>
  <si>
    <t>AB461:AB524 ; AB589:AB620</t>
  </si>
  <si>
    <t>pH ghi chữ 'natural' — cần giá trị số từ phần Methods</t>
  </si>
  <si>
    <t>Yin Xu 2016 (Figure 2a)</t>
  </si>
  <si>
    <t>AC4:AC38</t>
  </si>
  <si>
    <t>Water Temp ghi chữ 'room temperature' — cần giá trị số (mặc định 25 °C nếu bài không nêu)</t>
  </si>
  <si>
    <t>PHẦN 3 — THAY ĐỔI ĐÃ THỰC HIỆN TRONG FILE</t>
  </si>
  <si>
    <t>Ngày</t>
  </si>
  <si>
    <t>Vùng ô</t>
  </si>
  <si>
    <t>Nội dung thay đổi</t>
  </si>
  <si>
    <t>Người thực hiện</t>
  </si>
  <si>
    <t>Sheet1!W11:W17, W47:W54, W167:W172, W397:W404</t>
  </si>
  <si>
    <t>Đặt Catalyst dosage = 0 cho các mẫu đối chứng không có xúc tác (trước đó vẫn mang liều của mẫu thí nghiệm)</t>
  </si>
  <si>
    <t>User</t>
  </si>
  <si>
    <t>Sheet1!Y4:Y10</t>
  </si>
  <si>
    <t>Đặt Oxidant dosage = 0 cho mẫu đối chứng không có oxidant</t>
  </si>
  <si>
    <t>Sheet1!AM:AS</t>
  </si>
  <si>
    <t>Thêm Curve_ID, cờ Use_in_fit / Censored, và kobs tính lại bằng hồi quy tuyến tính kèm R²</t>
  </si>
  <si>
    <t>Claude</t>
  </si>
  <si>
    <t>Curve_ID</t>
  </si>
  <si>
    <t>Use_in_fit</t>
  </si>
  <si>
    <t>Censored</t>
  </si>
  <si>
    <t>n_fit</t>
  </si>
  <si>
    <t>kobs_fit</t>
  </si>
  <si>
    <t>R2_fit</t>
  </si>
  <si>
    <t>kobs_fit / kobs_2pt</t>
  </si>
  <si>
    <t>1..80</t>
  </si>
  <si>
    <t>1 = C/C0 &gt;= 0.05</t>
  </si>
  <si>
    <t>1 = C/C0 &lt; 0.005</t>
  </si>
  <si>
    <t>points</t>
  </si>
  <si>
    <t>min-1</t>
  </si>
  <si>
    <t>Sheet1!AJ349:AK620</t>
  </si>
  <si>
    <t>BỔ SUNG: toàn bộ 272 dòng của Zhenlu Li 2019 trước đó KHÔNG có cột C/C0 và ln(C/C0) — đã điền công thức =1-AH và =LN(AJ)</t>
  </si>
  <si>
    <t>PHẦN 4 — KẾT QUẢ TÍNH LẠI kobs (80 đường cong)</t>
  </si>
  <si>
    <t>Phương pháp: hồi quy tuyến tính ln(C/C0) theo t trên các điểm đầu liên tiếp có C/C0 ≥ 0.05 (SLOPE), kèm R² (RSQ). Cột Sheet1!AQ, AR.</t>
  </si>
  <si>
    <t>Phân bố R²</t>
  </si>
  <si>
    <t>Số đường cong</t>
  </si>
  <si>
    <t>Đánh giá</t>
  </si>
  <si>
    <t>R² ≥ 0.99</t>
  </si>
  <si>
    <t>Tốt — pseudo-first-order đúng</t>
  </si>
  <si>
    <t>0.95 ≤ R² &lt; 0.99</t>
  </si>
  <si>
    <t>Chấp nhận được</t>
  </si>
  <si>
    <t>0.90 ≤ R² &lt; 0.95</t>
  </si>
  <si>
    <t>Biên — cần xem lại</t>
  </si>
  <si>
    <t>0.80 ≤ R² &lt; 0.90</t>
  </si>
  <si>
    <t>Kém — không nên dùng làm nhãn</t>
  </si>
  <si>
    <t>0.60 ≤ R² &lt; 0.80</t>
  </si>
  <si>
    <t>KHÔNG tuân theo pseudo-first-order</t>
  </si>
  <si>
    <t>R² &lt; 0.60</t>
  </si>
  <si>
    <t>flat (không biến thiên)</t>
  </si>
  <si>
    <t>Mẫu đối chứng không phân hủy</t>
  </si>
  <si>
    <t>TỔNG</t>
  </si>
  <si>
    <t>So sánh kobs_fit vs kobs_2 điểm cũ (tỷ số AQ/AI)</t>
  </si>
  <si>
    <t>Nhỏ nhất</t>
  </si>
  <si>
    <t>Cách cũ ước lượng CAO hơn 2.8 lần</t>
  </si>
  <si>
    <t>Phân vị 25%</t>
  </si>
  <si>
    <t>Trung vị</t>
  </si>
  <si>
    <t>Cách cũ ước lượng cao hơn ~19% ở mức điển hình</t>
  </si>
  <si>
    <t>Lớn nhất</t>
  </si>
  <si>
    <t>Cách cũ ước lượng THẤP hơn 1.75 lần (đường bão hòa sớm)</t>
  </si>
  <si>
    <t>Kết luận</t>
  </si>
  <si>
    <t>40/80 đường cong có R² &lt; 0.90. Nếu dùng kobs làm biến mục tiêu, nên (a) loại các đường R² &lt; 0.90, hoặc (b) chuyển sang dự đoán Removal Efficiency tại mốc thời gian cố định (ví dụ 30 phút) — an toàn hơn vì không giả định bậc phản ứng.</t>
  </si>
  <si>
    <t>24 dòng bị đánh dấu Censored (C/C0 &lt; 0.005) — đây là các giá trị '100%' nhập tay (0.99999 … 0.9999999), không phải số đo thật. Đã loại khỏi phần fit và được tô cam ở cột Sheet1!AO.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</si>
</sst>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164" fontId="0" fillId="6" borderId="0" xfId="1" applyNumberFormat="1" applyFont="1" applyFill="1" applyAlignment="1">
      <alignment wrapText="1"/>
    </xf>
    <xf numFmtId="164" fontId="0" fillId="6" borderId="0" xfId="0" applyNumberFormat="1" applyFill="1" applyAlignment="1">
      <alignment wrapText="1"/>
    </xf>
    <xf numFmtId="0" fontId="1" fillId="0" borderId="0" xfId="0" applyFont="1" applyAlignment="1">
      <alignment wrapText="1"/>
    </xf>
    <xf numFmtId="164" fontId="0" fillId="0" borderId="0" xfId="1" applyNumberFormat="1" applyFont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6" fillId="7" borderId="0" xfId="0" applyFont="1" applyFill="1"/>
    <xf numFmtId="14" fontId="0" fillId="0" borderId="0" xfId="0" applyNumberFormat="1"/>
    <xf numFmtId="0" fontId="3" fillId="8" borderId="0" xfId="0" applyFont="1" applyFill="1"/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6" fillId="7" borderId="0" xfId="0" applyFont="1" applyFill="1" applyAlignment="1">
      <alignment vertical="top"/>
    </xf>
    <xf numFmtId="0" fontId="3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9" borderId="2" xfId="0" applyFill="1" applyBorder="1" applyAlignment="1">
      <alignment vertical="top"/>
    </xf>
    <xf numFmtId="0" fontId="0" fillId="10" borderId="2" xfId="0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9" borderId="3" xfId="0" applyFill="1" applyBorder="1" applyAlignment="1">
      <alignment vertical="top"/>
    </xf>
    <xf numFmtId="0" fontId="0" fillId="10" borderId="3" xfId="0" applyFill="1" applyBorder="1" applyAlignment="1">
      <alignment vertical="top"/>
    </xf>
    <xf numFmtId="14" fontId="0" fillId="0" borderId="2" xfId="0" applyNumberFormat="1" applyBorder="1" applyAlignment="1">
      <alignment vertical="top"/>
    </xf>
    <xf numFmtId="14" fontId="0" fillId="0" borderId="3" xfId="0" applyNumberFormat="1" applyBorder="1" applyAlignment="1">
      <alignment vertical="top"/>
    </xf>
    <xf numFmtId="0" fontId="3" fillId="0" borderId="0" xfId="0" applyFont="1"/>
    <xf numFmtId="0" fontId="3" fillId="8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Fill="1" applyBorder="1" applyAlignment="1">
      <alignment vertical="top"/>
    </xf>
    <xf numFmtId="0" fontId="8" fillId="0" borderId="0" xfId="0" applyFont="1" applyFill="1" applyBorder="1" applyAlignment="1">
      <alignment vertical="top" wrapText="1"/>
    </xf>
    <xf numFmtId="0" fontId="0" fillId="0" borderId="1" xfId="0" applyBorder="1"/>
    <xf numFmtId="0" fontId="0" fillId="0" borderId="2" xfId="0" applyBorder="1"/>
    <xf numFmtId="0" fontId="3" fillId="0" borderId="3" xfId="0" applyFont="1" applyBorder="1"/>
    <xf numFmtId="0" fontId="0" fillId="0" borderId="3" xfId="0" applyBorder="1"/>
    <xf numFmtId="0" fontId="7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5" fillId="0" borderId="0" xfId="0" applyFont="1" applyAlignment="1"/>
    <xf numFmtId="0" fontId="0" fillId="11" borderId="2" xfId="0" applyFill="1" applyBorder="1"/>
    <xf numFmtId="0" fontId="0" fillId="12" borderId="1" xfId="0" applyFill="1" applyBorder="1"/>
    <xf numFmtId="0" fontId="0" fillId="12" borderId="2" xfId="0" applyFill="1" applyBorder="1"/>
  </cellXfs>
  <cellStyles count="2">
    <cellStyle name="Normal" xfId="0" builtinId="0"/>
    <cellStyle name="Percent" xfId="1" builtinId="5"/>
  </cellStyles>
  <dxfs count="4">
    <dxf>
      <fill>
        <patternFill patternType="solid">
          <fgColor indexed="64"/>
          <bgColor rgb="FFF4B183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374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FF554F-4577-4C2C-976C-74229B84155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4656248-d270-4338-bb42-d1767a587f9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A3CE-1834-4DE9-BDFC-5091C8ED5B7D}">
  <dimension ref="A1:AS620"/>
  <sheetViews>
    <sheetView tabSelected="1" zoomScale="77" workbookViewId="0">
      <pane ySplit="2" topLeftCell="A3" activePane="bottomLeft" state="frozen"/>
      <selection pane="bottomLeft" activeCell="Q4" sqref="Q4"/>
    </sheetView>
  </sheetViews>
  <sheetFormatPr defaultRowHeight="14.25" x14ac:dyDescent="0.45"/>
  <cols>
    <col min="1" max="19" width="9.06640625" style="1"/>
    <col min="20" max="23" width="9.1328125" style="1" bestFit="1" customWidth="1"/>
    <col min="24" max="24" width="9.1328125" style="1" customWidth="1"/>
    <col min="25" max="26" width="9.1328125" style="1" bestFit="1" customWidth="1"/>
    <col min="27" max="27" width="11.46484375" style="1" bestFit="1" customWidth="1"/>
    <col min="28" max="28" width="9.1328125" style="1" bestFit="1" customWidth="1"/>
    <col min="29" max="33" width="9.06640625" style="1"/>
    <col min="34" max="34" width="11.46484375" style="1" bestFit="1" customWidth="1"/>
    <col min="35" max="35" width="12.265625" style="1" bestFit="1" customWidth="1"/>
    <col min="36" max="36" width="11.46484375" style="1" bestFit="1" customWidth="1"/>
    <col min="37" max="37" width="11.86328125" style="1" customWidth="1"/>
    <col min="38" max="38" width="11.46484375" style="1" bestFit="1" customWidth="1"/>
    <col min="39" max="39" width="12.46484375" customWidth="1"/>
    <col min="40" max="40" width="14.19921875" customWidth="1"/>
    <col min="41" max="41" width="13.33203125" customWidth="1"/>
    <col min="42" max="42" width="9.796875" customWidth="1"/>
    <col min="43" max="43" width="14.19921875" customWidth="1"/>
    <col min="44" max="44" width="12.46484375" customWidth="1"/>
    <col min="45" max="45" width="16.86328125" customWidth="1"/>
  </cols>
  <sheetData>
    <row r="1" spans="1:45" ht="57" x14ac:dyDescent="0.4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5" t="s">
        <v>4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6" t="s">
        <v>5</v>
      </c>
      <c r="AI1" s="7" t="s">
        <v>6</v>
      </c>
      <c r="AJ1" s="1" t="s">
        <v>77</v>
      </c>
      <c r="AK1" s="1" t="s">
        <v>78</v>
      </c>
      <c r="AL1" s="1" t="s">
        <v>79</v>
      </c>
      <c r="AM1" s="32" t="s">
        <v>167</v>
      </c>
      <c r="AN1" s="32" t="s">
        <v>168</v>
      </c>
      <c r="AO1" s="32" t="s">
        <v>169</v>
      </c>
      <c r="AP1" s="32" t="s">
        <v>170</v>
      </c>
      <c r="AQ1" s="32" t="s">
        <v>171</v>
      </c>
      <c r="AR1" s="32" t="s">
        <v>172</v>
      </c>
      <c r="AS1" s="32" t="s">
        <v>173</v>
      </c>
    </row>
    <row r="2" spans="1:45" ht="57" x14ac:dyDescent="0.45">
      <c r="B2" s="1" t="s">
        <v>7</v>
      </c>
      <c r="C2" s="1" t="s">
        <v>96</v>
      </c>
      <c r="D2" s="8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15</v>
      </c>
      <c r="S2" s="1" t="s">
        <v>8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9"/>
      <c r="AI2" s="10"/>
      <c r="AM2" s="33" t="s">
        <v>174</v>
      </c>
      <c r="AN2" s="33" t="s">
        <v>175</v>
      </c>
      <c r="AO2" s="33" t="s">
        <v>176</v>
      </c>
      <c r="AP2" s="33" t="s">
        <v>177</v>
      </c>
      <c r="AQ2" s="33" t="s">
        <v>178</v>
      </c>
      <c r="AR2" s="33"/>
      <c r="AS2" s="33"/>
    </row>
    <row r="3" spans="1:45" ht="15" customHeight="1" x14ac:dyDescent="0.45">
      <c r="D3" s="1" t="s">
        <v>35</v>
      </c>
      <c r="K3" s="1" t="s">
        <v>36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36</v>
      </c>
      <c r="Q3" s="1" t="s">
        <v>36</v>
      </c>
      <c r="T3" s="1" t="s">
        <v>40</v>
      </c>
      <c r="U3" s="1" t="s">
        <v>41</v>
      </c>
      <c r="W3" s="1" t="s">
        <v>42</v>
      </c>
      <c r="X3" s="1" t="s">
        <v>46</v>
      </c>
      <c r="Y3" s="1" t="s">
        <v>43</v>
      </c>
      <c r="Z3" s="1" t="s">
        <v>44</v>
      </c>
      <c r="AC3" s="1" t="s">
        <v>45</v>
      </c>
      <c r="AD3" s="1" t="s">
        <v>36</v>
      </c>
      <c r="AE3" s="1" t="s">
        <v>44</v>
      </c>
      <c r="AG3" s="1" t="s">
        <v>46</v>
      </c>
      <c r="AH3" s="9"/>
      <c r="AI3" s="10"/>
    </row>
    <row r="4" spans="1:45" ht="42.75" x14ac:dyDescent="0.45">
      <c r="A4" s="1" t="s">
        <v>47</v>
      </c>
      <c r="B4" s="1" t="s">
        <v>48</v>
      </c>
      <c r="C4" s="1">
        <v>40.5</v>
      </c>
      <c r="D4" s="1">
        <v>228.29</v>
      </c>
      <c r="E4" s="1">
        <v>3.32</v>
      </c>
      <c r="F4" s="1">
        <v>1.607</v>
      </c>
      <c r="G4" s="1">
        <v>1.58</v>
      </c>
      <c r="H4" s="1">
        <v>1.1000000000000001</v>
      </c>
      <c r="I4" s="1">
        <v>0.65</v>
      </c>
      <c r="J4" s="1">
        <v>1.73</v>
      </c>
      <c r="K4" s="1" t="s">
        <v>49</v>
      </c>
      <c r="M4" s="1">
        <v>20</v>
      </c>
      <c r="N4" s="1">
        <v>77.510000000000005</v>
      </c>
      <c r="O4" s="1">
        <v>8.11</v>
      </c>
      <c r="P4" s="1">
        <v>7.8</v>
      </c>
      <c r="Q4" s="1">
        <v>35.9</v>
      </c>
      <c r="R4" s="1" t="s">
        <v>50</v>
      </c>
      <c r="W4" s="1">
        <v>0.4</v>
      </c>
      <c r="X4" s="1">
        <f t="shared" ref="X4:X67" si="0">W4*1000</f>
        <v>400</v>
      </c>
      <c r="Y4" s="11">
        <v>0</v>
      </c>
      <c r="Z4" s="1">
        <v>0.219</v>
      </c>
      <c r="AA4" s="1">
        <v>0</v>
      </c>
      <c r="AB4" s="1">
        <v>6.72</v>
      </c>
      <c r="AC4" s="1" t="s">
        <v>51</v>
      </c>
      <c r="AH4" s="1">
        <v>0</v>
      </c>
      <c r="AI4" s="1">
        <f>-(AK4-AK10)/(AA4-AA10)</f>
        <v>1.2316523586706576E-4</v>
      </c>
      <c r="AJ4" s="1">
        <f>1-AH4</f>
        <v>1</v>
      </c>
      <c r="AK4" s="1">
        <f>LN(AJ4)</f>
        <v>0</v>
      </c>
      <c r="AL4" s="1">
        <v>1.3428513896160201E-4</v>
      </c>
      <c r="AM4">
        <v>1</v>
      </c>
      <c r="AN4">
        <f>IF(ISNUMBER(AJ4),IF(AJ4&gt;=0.05,1,0),"")</f>
        <v>1</v>
      </c>
      <c r="AO4">
        <f>IF(ISNUMBER(AJ4),IF(AJ4&lt;0.005,1,0),"")</f>
        <v>0</v>
      </c>
      <c r="AP4">
        <f>IFERROR(MATCH(0,AN4:AN10,0)-1,7)</f>
        <v>7</v>
      </c>
      <c r="AQ4" s="34">
        <f>IF(AP4&lt;3,"n&lt;3",IFERROR(-SLOPE(AK4:INDEX(AK4:AK10,AP4),AA4:INDEX(AA4:AA10,AP4)),"no fit"))</f>
        <v>1.1312062661089703E-4</v>
      </c>
      <c r="AR4" s="35">
        <f>IF(AP4&lt;3,"",IFERROR(RSQ(AK4:INDEX(AK4:AK10,AP4),AA4:INDEX(AA4:AA10,AP4)),"flat"))</f>
        <v>0.89053363317171619</v>
      </c>
      <c r="AS4" s="36">
        <f>IFERROR(AQ4/AI4,"")</f>
        <v>0.91844606811771101</v>
      </c>
    </row>
    <row r="5" spans="1:45" ht="42.75" x14ac:dyDescent="0.45">
      <c r="A5" s="1" t="s">
        <v>47</v>
      </c>
      <c r="B5" s="1" t="s">
        <v>48</v>
      </c>
      <c r="C5" s="1">
        <v>40.5</v>
      </c>
      <c r="D5" s="1">
        <v>228.29</v>
      </c>
      <c r="E5" s="1">
        <v>3.32</v>
      </c>
      <c r="F5" s="1">
        <v>1.607</v>
      </c>
      <c r="G5" s="1">
        <v>1.58</v>
      </c>
      <c r="H5" s="1">
        <v>1.1000000000000001</v>
      </c>
      <c r="I5" s="1">
        <v>0.65</v>
      </c>
      <c r="J5" s="1">
        <v>1.73</v>
      </c>
      <c r="K5" s="1" t="s">
        <v>49</v>
      </c>
      <c r="M5" s="1">
        <v>20</v>
      </c>
      <c r="N5" s="1">
        <v>77.510000000000005</v>
      </c>
      <c r="O5" s="1">
        <v>8.11</v>
      </c>
      <c r="P5" s="1">
        <v>7.8</v>
      </c>
      <c r="Q5" s="1">
        <v>35.9</v>
      </c>
      <c r="R5" s="1" t="s">
        <v>50</v>
      </c>
      <c r="W5" s="1">
        <v>0.4</v>
      </c>
      <c r="X5" s="1">
        <f t="shared" si="0"/>
        <v>400</v>
      </c>
      <c r="Y5" s="11">
        <v>0</v>
      </c>
      <c r="Z5" s="1">
        <v>0.219</v>
      </c>
      <c r="AA5" s="1">
        <v>5.0101902148469897</v>
      </c>
      <c r="AB5" s="1">
        <v>6.72</v>
      </c>
      <c r="AC5" s="1" t="s">
        <v>51</v>
      </c>
      <c r="AH5" s="1">
        <v>0</v>
      </c>
      <c r="AJ5" s="1">
        <f>1-AH5</f>
        <v>1</v>
      </c>
      <c r="AK5" s="1">
        <f t="shared" ref="AK5:AK77" si="1">LN(AJ5)</f>
        <v>0</v>
      </c>
      <c r="AM5">
        <v>1</v>
      </c>
      <c r="AN5">
        <f>IF(ISNUMBER(AJ5),IF(AJ5&gt;=0.05,1,0),"")</f>
        <v>1</v>
      </c>
      <c r="AO5">
        <f>IF(ISNUMBER(AJ5),IF(AJ5&lt;0.005,1,0),"")</f>
        <v>0</v>
      </c>
      <c r="AQ5" s="34"/>
      <c r="AR5" s="35"/>
      <c r="AS5" s="36"/>
    </row>
    <row r="6" spans="1:45" ht="42.75" x14ac:dyDescent="0.45">
      <c r="A6" s="1" t="s">
        <v>47</v>
      </c>
      <c r="B6" s="1" t="s">
        <v>48</v>
      </c>
      <c r="C6" s="1">
        <v>40.5</v>
      </c>
      <c r="D6" s="1">
        <v>228.29</v>
      </c>
      <c r="E6" s="1">
        <v>3.32</v>
      </c>
      <c r="F6" s="1">
        <v>1.607</v>
      </c>
      <c r="G6" s="1">
        <v>1.58</v>
      </c>
      <c r="H6" s="1">
        <v>1.1000000000000001</v>
      </c>
      <c r="I6" s="1">
        <v>0.65</v>
      </c>
      <c r="J6" s="1">
        <v>1.73</v>
      </c>
      <c r="K6" s="1" t="s">
        <v>49</v>
      </c>
      <c r="M6" s="1">
        <v>20</v>
      </c>
      <c r="N6" s="1">
        <v>77.510000000000005</v>
      </c>
      <c r="O6" s="1">
        <v>8.11</v>
      </c>
      <c r="P6" s="1">
        <v>7.8</v>
      </c>
      <c r="Q6" s="1">
        <v>35.9</v>
      </c>
      <c r="R6" s="1" t="s">
        <v>50</v>
      </c>
      <c r="W6" s="1">
        <v>0.4</v>
      </c>
      <c r="X6" s="1">
        <f t="shared" si="0"/>
        <v>400</v>
      </c>
      <c r="Y6" s="11">
        <v>0</v>
      </c>
      <c r="Z6" s="1">
        <v>0.219</v>
      </c>
      <c r="AA6" s="1">
        <v>10.295276178913401</v>
      </c>
      <c r="AB6" s="1">
        <v>6.72</v>
      </c>
      <c r="AC6" s="1" t="s">
        <v>51</v>
      </c>
      <c r="AH6" s="1">
        <v>1.0000000000000009E-3</v>
      </c>
      <c r="AJ6" s="1">
        <f t="shared" ref="AJ6:AJ78" si="2">1-AH6</f>
        <v>0.999</v>
      </c>
      <c r="AK6" s="1">
        <f t="shared" si="1"/>
        <v>-1.0005003335835344E-3</v>
      </c>
      <c r="AM6">
        <v>1</v>
      </c>
      <c r="AN6">
        <f>IF(ISNUMBER(AJ6),IF(AJ6&gt;=0.05,1,0),"")</f>
        <v>1</v>
      </c>
      <c r="AO6">
        <f>IF(ISNUMBER(AJ6),IF(AJ6&lt;0.005,1,0),"")</f>
        <v>0</v>
      </c>
      <c r="AQ6" s="34"/>
      <c r="AR6" s="35"/>
      <c r="AS6" s="36"/>
    </row>
    <row r="7" spans="1:45" ht="42.75" x14ac:dyDescent="0.45">
      <c r="A7" s="1" t="s">
        <v>47</v>
      </c>
      <c r="B7" s="1" t="s">
        <v>48</v>
      </c>
      <c r="C7" s="1">
        <v>40.5</v>
      </c>
      <c r="D7" s="1">
        <v>228.29</v>
      </c>
      <c r="E7" s="1">
        <v>3.32</v>
      </c>
      <c r="F7" s="1">
        <v>1.607</v>
      </c>
      <c r="G7" s="1">
        <v>1.58</v>
      </c>
      <c r="H7" s="1">
        <v>1.1000000000000001</v>
      </c>
      <c r="I7" s="1">
        <v>0.65</v>
      </c>
      <c r="J7" s="1">
        <v>1.73</v>
      </c>
      <c r="K7" s="1" t="s">
        <v>49</v>
      </c>
      <c r="M7" s="1">
        <v>20</v>
      </c>
      <c r="N7" s="1">
        <v>77.510000000000005</v>
      </c>
      <c r="O7" s="1">
        <v>8.11</v>
      </c>
      <c r="P7" s="1">
        <v>7.8</v>
      </c>
      <c r="Q7" s="1">
        <v>35.9</v>
      </c>
      <c r="R7" s="1" t="s">
        <v>50</v>
      </c>
      <c r="W7" s="1">
        <v>0.4</v>
      </c>
      <c r="X7" s="1">
        <f t="shared" si="0"/>
        <v>400</v>
      </c>
      <c r="Y7" s="11">
        <v>0</v>
      </c>
      <c r="Z7" s="1">
        <v>0.219</v>
      </c>
      <c r="AA7" s="1">
        <v>19.984600446368599</v>
      </c>
      <c r="AB7" s="1">
        <v>6.72</v>
      </c>
      <c r="AC7" s="1" t="s">
        <v>51</v>
      </c>
      <c r="AH7" s="1">
        <v>2.0000000000000018E-3</v>
      </c>
      <c r="AJ7" s="1">
        <f t="shared" si="2"/>
        <v>0.998</v>
      </c>
      <c r="AK7" s="1">
        <f t="shared" si="1"/>
        <v>-2.0020026706730793E-3</v>
      </c>
      <c r="AM7">
        <v>1</v>
      </c>
      <c r="AN7">
        <f>IF(ISNUMBER(AJ7),IF(AJ7&gt;=0.05,1,0),"")</f>
        <v>1</v>
      </c>
      <c r="AO7">
        <f>IF(ISNUMBER(AJ7),IF(AJ7&lt;0.005,1,0),"")</f>
        <v>0</v>
      </c>
      <c r="AQ7" s="34"/>
      <c r="AR7" s="35"/>
      <c r="AS7" s="36"/>
    </row>
    <row r="8" spans="1:45" ht="42.75" x14ac:dyDescent="0.45">
      <c r="A8" s="1" t="s">
        <v>47</v>
      </c>
      <c r="B8" s="1" t="s">
        <v>48</v>
      </c>
      <c r="C8" s="1">
        <v>40.5</v>
      </c>
      <c r="D8" s="1">
        <v>228.29</v>
      </c>
      <c r="E8" s="1">
        <v>3.32</v>
      </c>
      <c r="F8" s="1">
        <v>1.607</v>
      </c>
      <c r="G8" s="1">
        <v>1.58</v>
      </c>
      <c r="H8" s="1">
        <v>1.1000000000000001</v>
      </c>
      <c r="I8" s="1">
        <v>0.65</v>
      </c>
      <c r="J8" s="1">
        <v>1.73</v>
      </c>
      <c r="K8" s="1" t="s">
        <v>49</v>
      </c>
      <c r="M8" s="1">
        <v>20</v>
      </c>
      <c r="N8" s="1">
        <v>77.510000000000005</v>
      </c>
      <c r="O8" s="1">
        <v>8.11</v>
      </c>
      <c r="P8" s="1">
        <v>7.8</v>
      </c>
      <c r="Q8" s="1">
        <v>35.9</v>
      </c>
      <c r="R8" s="1" t="s">
        <v>50</v>
      </c>
      <c r="W8" s="1">
        <v>0.4</v>
      </c>
      <c r="X8" s="1">
        <f t="shared" si="0"/>
        <v>400</v>
      </c>
      <c r="Y8" s="11">
        <v>0</v>
      </c>
      <c r="Z8" s="1">
        <v>0.219</v>
      </c>
      <c r="AA8" s="1">
        <v>30.026263778095</v>
      </c>
      <c r="AB8" s="1">
        <v>6.72</v>
      </c>
      <c r="AC8" s="1" t="s">
        <v>51</v>
      </c>
      <c r="AH8" s="1">
        <v>1.2999999999999678E-3</v>
      </c>
      <c r="AJ8" s="1">
        <f t="shared" si="2"/>
        <v>0.99870000000000003</v>
      </c>
      <c r="AK8" s="1">
        <f t="shared" si="1"/>
        <v>-1.3008457330480696E-3</v>
      </c>
      <c r="AM8">
        <v>1</v>
      </c>
      <c r="AN8">
        <f>IF(ISNUMBER(AJ8),IF(AJ8&gt;=0.05,1,0),"")</f>
        <v>1</v>
      </c>
      <c r="AO8">
        <f>IF(ISNUMBER(AJ8),IF(AJ8&lt;0.005,1,0),"")</f>
        <v>0</v>
      </c>
      <c r="AQ8" s="34"/>
      <c r="AR8" s="35"/>
      <c r="AS8" s="36"/>
    </row>
    <row r="9" spans="1:45" ht="42.75" x14ac:dyDescent="0.45">
      <c r="A9" s="1" t="s">
        <v>47</v>
      </c>
      <c r="B9" s="1" t="s">
        <v>48</v>
      </c>
      <c r="C9" s="1">
        <v>40.5</v>
      </c>
      <c r="D9" s="1">
        <v>228.29</v>
      </c>
      <c r="E9" s="1">
        <v>3.32</v>
      </c>
      <c r="F9" s="1">
        <v>1.607</v>
      </c>
      <c r="G9" s="1">
        <v>1.58</v>
      </c>
      <c r="H9" s="1">
        <v>1.1000000000000001</v>
      </c>
      <c r="I9" s="1">
        <v>0.65</v>
      </c>
      <c r="J9" s="1">
        <v>1.73</v>
      </c>
      <c r="K9" s="1" t="s">
        <v>49</v>
      </c>
      <c r="M9" s="1">
        <v>20</v>
      </c>
      <c r="N9" s="1">
        <v>77.510000000000005</v>
      </c>
      <c r="O9" s="1">
        <v>8.11</v>
      </c>
      <c r="P9" s="1">
        <v>7.8</v>
      </c>
      <c r="Q9" s="1">
        <v>35.9</v>
      </c>
      <c r="R9" s="1" t="s">
        <v>50</v>
      </c>
      <c r="W9" s="1">
        <v>0.4</v>
      </c>
      <c r="X9" s="1">
        <f t="shared" si="0"/>
        <v>400</v>
      </c>
      <c r="Y9" s="11">
        <v>0</v>
      </c>
      <c r="Z9" s="1">
        <v>0.219</v>
      </c>
      <c r="AA9" s="1">
        <v>45.353013073887801</v>
      </c>
      <c r="AB9" s="1">
        <v>6.72</v>
      </c>
      <c r="AC9" s="1" t="s">
        <v>51</v>
      </c>
      <c r="AH9" s="1">
        <v>3.9393939393940203E-3</v>
      </c>
      <c r="AJ9" s="1">
        <f t="shared" si="2"/>
        <v>0.99606060606060598</v>
      </c>
      <c r="AK9" s="1">
        <f t="shared" si="1"/>
        <v>-3.9471737903522775E-3</v>
      </c>
      <c r="AM9">
        <v>1</v>
      </c>
      <c r="AN9">
        <f>IF(ISNUMBER(AJ9),IF(AJ9&gt;=0.05,1,0),"")</f>
        <v>1</v>
      </c>
      <c r="AO9">
        <f>IF(ISNUMBER(AJ9),IF(AJ9&lt;0.005,1,0),"")</f>
        <v>0</v>
      </c>
      <c r="AQ9" s="34"/>
      <c r="AR9" s="35"/>
      <c r="AS9" s="36"/>
    </row>
    <row r="10" spans="1:45" ht="42.75" x14ac:dyDescent="0.45">
      <c r="A10" s="1" t="s">
        <v>47</v>
      </c>
      <c r="B10" s="1" t="s">
        <v>48</v>
      </c>
      <c r="C10" s="1">
        <v>40.5</v>
      </c>
      <c r="D10" s="1">
        <v>228.29</v>
      </c>
      <c r="E10" s="1">
        <v>3.32</v>
      </c>
      <c r="F10" s="1">
        <v>1.607</v>
      </c>
      <c r="G10" s="1">
        <v>1.58</v>
      </c>
      <c r="H10" s="1">
        <v>1.1000000000000001</v>
      </c>
      <c r="I10" s="1">
        <v>0.65</v>
      </c>
      <c r="J10" s="1">
        <v>1.73</v>
      </c>
      <c r="K10" s="1" t="s">
        <v>49</v>
      </c>
      <c r="M10" s="1">
        <v>20</v>
      </c>
      <c r="N10" s="1">
        <v>77.510000000000005</v>
      </c>
      <c r="O10" s="1">
        <v>8.11</v>
      </c>
      <c r="P10" s="1">
        <v>7.8</v>
      </c>
      <c r="Q10" s="1">
        <v>35.9</v>
      </c>
      <c r="R10" s="1" t="s">
        <v>50</v>
      </c>
      <c r="W10" s="1">
        <v>0.4</v>
      </c>
      <c r="X10" s="1">
        <f t="shared" si="0"/>
        <v>400</v>
      </c>
      <c r="Y10" s="11">
        <v>0</v>
      </c>
      <c r="Z10" s="1">
        <v>0.219</v>
      </c>
      <c r="AA10" s="1">
        <v>60.503592837545</v>
      </c>
      <c r="AB10" s="1">
        <v>6.72</v>
      </c>
      <c r="AC10" s="1" t="s">
        <v>51</v>
      </c>
      <c r="AH10" s="1">
        <v>7.4242424242429994E-3</v>
      </c>
      <c r="AJ10" s="1">
        <f t="shared" si="2"/>
        <v>0.992575757575757</v>
      </c>
      <c r="AK10" s="1">
        <f t="shared" si="1"/>
        <v>-7.4519392826411408E-3</v>
      </c>
      <c r="AM10">
        <v>1</v>
      </c>
      <c r="AN10">
        <f>IF(ISNUMBER(AJ10),IF(AJ10&gt;=0.05,1,0),"")</f>
        <v>1</v>
      </c>
      <c r="AO10">
        <f>IF(ISNUMBER(AJ10),IF(AJ10&lt;0.005,1,0),"")</f>
        <v>0</v>
      </c>
      <c r="AQ10" s="34"/>
      <c r="AR10" s="35"/>
      <c r="AS10" s="36"/>
    </row>
    <row r="11" spans="1:45" ht="57" x14ac:dyDescent="0.45">
      <c r="A11" s="1" t="s">
        <v>47</v>
      </c>
      <c r="B11" s="1" t="s">
        <v>48</v>
      </c>
      <c r="C11" s="1">
        <v>40.5</v>
      </c>
      <c r="D11" s="1">
        <v>228.29</v>
      </c>
      <c r="E11" s="1">
        <v>3.32</v>
      </c>
      <c r="F11" s="1">
        <v>1.607</v>
      </c>
      <c r="G11" s="1">
        <v>1.58</v>
      </c>
      <c r="H11" s="1">
        <v>1.1000000000000001</v>
      </c>
      <c r="I11" s="1">
        <v>0.65</v>
      </c>
      <c r="J11" s="1">
        <v>1.73</v>
      </c>
      <c r="K11" s="1" t="s">
        <v>50</v>
      </c>
      <c r="R11" s="1" t="s">
        <v>52</v>
      </c>
      <c r="S11" s="1">
        <v>307.27999999999997</v>
      </c>
      <c r="T11" s="1">
        <v>377</v>
      </c>
      <c r="U11" s="1">
        <v>1.82</v>
      </c>
      <c r="V11" s="1">
        <v>9.4</v>
      </c>
      <c r="W11" s="1">
        <v>0</v>
      </c>
      <c r="X11" s="1">
        <f t="shared" si="0"/>
        <v>0</v>
      </c>
      <c r="Y11" s="11">
        <v>2.19</v>
      </c>
      <c r="Z11" s="1">
        <v>0.219</v>
      </c>
      <c r="AA11" s="1">
        <v>0</v>
      </c>
      <c r="AB11" s="1">
        <v>6.72</v>
      </c>
      <c r="AC11" s="1" t="s">
        <v>51</v>
      </c>
      <c r="AH11" s="1">
        <v>0</v>
      </c>
      <c r="AI11" s="1">
        <f>-(AK11-AK17)/-AA17</f>
        <v>1.0173459148362426E-3</v>
      </c>
      <c r="AJ11" s="1">
        <f t="shared" ref="AJ11" si="3">1-AH11</f>
        <v>1</v>
      </c>
      <c r="AK11" s="1">
        <f t="shared" si="1"/>
        <v>0</v>
      </c>
      <c r="AL11" s="1">
        <v>5.8938146765850896E-4</v>
      </c>
      <c r="AM11">
        <v>2</v>
      </c>
      <c r="AN11">
        <f>IF(ISNUMBER(AJ11),IF(AJ11&gt;=0.05,1,0),"")</f>
        <v>1</v>
      </c>
      <c r="AO11">
        <f>IF(ISNUMBER(AJ11),IF(AJ11&lt;0.005,1,0),"")</f>
        <v>0</v>
      </c>
      <c r="AP11">
        <f>IFERROR(MATCH(0,AN11:AN17,0)-1,7)</f>
        <v>7</v>
      </c>
      <c r="AQ11" s="34">
        <f>IF(AP11&lt;3,"n&lt;3",IFERROR(-SLOPE(AK11:INDEX(AK11:AK17,AP11),AA11:INDEX(AA11:AA17,AP11)),"no fit"))</f>
        <v>9.4875631960615223E-4</v>
      </c>
      <c r="AR11" s="35">
        <f>IF(AP11&lt;3,"",IFERROR(RSQ(AK11:INDEX(AK11:AK17,AP11),AA11:INDEX(AA11:AA17,AP11)),"flat"))</f>
        <v>0.69198833399009152</v>
      </c>
      <c r="AS11" s="36">
        <f>IFERROR(AQ11/AI11,"")</f>
        <v>0.93257986862695474</v>
      </c>
    </row>
    <row r="12" spans="1:45" ht="57" x14ac:dyDescent="0.45">
      <c r="A12" s="1" t="s">
        <v>47</v>
      </c>
      <c r="B12" s="1" t="s">
        <v>48</v>
      </c>
      <c r="C12" s="1">
        <v>40.5</v>
      </c>
      <c r="D12" s="1">
        <v>228.29</v>
      </c>
      <c r="E12" s="1">
        <v>3.32</v>
      </c>
      <c r="F12" s="1">
        <v>1.607</v>
      </c>
      <c r="G12" s="1">
        <v>1.58</v>
      </c>
      <c r="H12" s="1">
        <v>1.1000000000000001</v>
      </c>
      <c r="I12" s="1">
        <v>0.65</v>
      </c>
      <c r="J12" s="1">
        <v>1.73</v>
      </c>
      <c r="K12" s="1" t="s">
        <v>50</v>
      </c>
      <c r="R12" s="1" t="s">
        <v>52</v>
      </c>
      <c r="S12" s="1">
        <v>307.27999999999997</v>
      </c>
      <c r="T12" s="1">
        <v>377</v>
      </c>
      <c r="U12" s="1">
        <v>1.82</v>
      </c>
      <c r="V12" s="1">
        <v>9.4</v>
      </c>
      <c r="W12" s="1">
        <v>0</v>
      </c>
      <c r="X12" s="1">
        <f t="shared" si="0"/>
        <v>0</v>
      </c>
      <c r="Y12" s="11">
        <v>2.19</v>
      </c>
      <c r="Z12" s="1">
        <v>0.219</v>
      </c>
      <c r="AA12" s="1">
        <v>4.83402068271144</v>
      </c>
      <c r="AB12" s="1">
        <v>6.72</v>
      </c>
      <c r="AC12" s="1" t="s">
        <v>51</v>
      </c>
      <c r="AH12" s="1">
        <v>2.8333333333333988E-2</v>
      </c>
      <c r="AJ12" s="1">
        <f t="shared" si="2"/>
        <v>0.97166666666666601</v>
      </c>
      <c r="AK12" s="1">
        <f t="shared" si="1"/>
        <v>-2.8742468865654663E-2</v>
      </c>
      <c r="AM12">
        <v>2</v>
      </c>
      <c r="AN12">
        <f>IF(ISNUMBER(AJ12),IF(AJ12&gt;=0.05,1,0),"")</f>
        <v>1</v>
      </c>
      <c r="AO12">
        <f>IF(ISNUMBER(AJ12),IF(AJ12&lt;0.005,1,0),"")</f>
        <v>0</v>
      </c>
      <c r="AQ12" s="34"/>
      <c r="AR12" s="35"/>
      <c r="AS12" s="36"/>
    </row>
    <row r="13" spans="1:45" ht="57" x14ac:dyDescent="0.45">
      <c r="A13" s="1" t="s">
        <v>47</v>
      </c>
      <c r="B13" s="1" t="s">
        <v>48</v>
      </c>
      <c r="C13" s="1">
        <v>40.5</v>
      </c>
      <c r="D13" s="1">
        <v>228.29</v>
      </c>
      <c r="E13" s="1">
        <v>3.32</v>
      </c>
      <c r="F13" s="1">
        <v>1.607</v>
      </c>
      <c r="G13" s="1">
        <v>1.58</v>
      </c>
      <c r="H13" s="1">
        <v>1.1000000000000001</v>
      </c>
      <c r="I13" s="1">
        <v>0.65</v>
      </c>
      <c r="J13" s="1">
        <v>1.73</v>
      </c>
      <c r="K13" s="1" t="s">
        <v>50</v>
      </c>
      <c r="R13" s="1" t="s">
        <v>52</v>
      </c>
      <c r="S13" s="1">
        <v>307.27999999999997</v>
      </c>
      <c r="T13" s="1">
        <v>377</v>
      </c>
      <c r="U13" s="1">
        <v>1.82</v>
      </c>
      <c r="V13" s="1">
        <v>9.4</v>
      </c>
      <c r="W13" s="1">
        <v>0</v>
      </c>
      <c r="X13" s="1">
        <f t="shared" si="0"/>
        <v>0</v>
      </c>
      <c r="Y13" s="11">
        <v>2.19</v>
      </c>
      <c r="Z13" s="1">
        <v>0.219</v>
      </c>
      <c r="AA13" s="1">
        <v>10.295276178913401</v>
      </c>
      <c r="AB13" s="1">
        <v>6.72</v>
      </c>
      <c r="AC13" s="1" t="s">
        <v>51</v>
      </c>
      <c r="AH13" s="1">
        <v>3.5303030303030947E-2</v>
      </c>
      <c r="AJ13" s="1">
        <f t="shared" si="2"/>
        <v>0.96469696969696905</v>
      </c>
      <c r="AK13" s="1">
        <f t="shared" si="1"/>
        <v>-3.5941247997492251E-2</v>
      </c>
      <c r="AM13">
        <v>2</v>
      </c>
      <c r="AN13">
        <f>IF(ISNUMBER(AJ13),IF(AJ13&gt;=0.05,1,0),"")</f>
        <v>1</v>
      </c>
      <c r="AO13">
        <f>IF(ISNUMBER(AJ13),IF(AJ13&lt;0.005,1,0),"")</f>
        <v>0</v>
      </c>
      <c r="AQ13" s="34"/>
      <c r="AR13" s="35"/>
      <c r="AS13" s="36"/>
    </row>
    <row r="14" spans="1:45" ht="57" x14ac:dyDescent="0.45">
      <c r="A14" s="1" t="s">
        <v>47</v>
      </c>
      <c r="B14" s="1" t="s">
        <v>48</v>
      </c>
      <c r="C14" s="1">
        <v>40.5</v>
      </c>
      <c r="D14" s="1">
        <v>228.29</v>
      </c>
      <c r="E14" s="1">
        <v>3.32</v>
      </c>
      <c r="F14" s="1">
        <v>1.607</v>
      </c>
      <c r="G14" s="1">
        <v>1.58</v>
      </c>
      <c r="H14" s="1">
        <v>1.1000000000000001</v>
      </c>
      <c r="I14" s="1">
        <v>0.65</v>
      </c>
      <c r="J14" s="1">
        <v>1.73</v>
      </c>
      <c r="K14" s="1" t="s">
        <v>50</v>
      </c>
      <c r="R14" s="1" t="s">
        <v>52</v>
      </c>
      <c r="S14" s="1">
        <v>307.27999999999997</v>
      </c>
      <c r="T14" s="1">
        <v>377</v>
      </c>
      <c r="U14" s="1">
        <v>1.82</v>
      </c>
      <c r="V14" s="1">
        <v>9.4</v>
      </c>
      <c r="W14" s="1">
        <v>0</v>
      </c>
      <c r="X14" s="1">
        <f t="shared" si="0"/>
        <v>0</v>
      </c>
      <c r="Y14" s="11">
        <v>2.19</v>
      </c>
      <c r="Z14" s="1">
        <v>0.219</v>
      </c>
      <c r="AA14" s="1">
        <v>20.160769978504199</v>
      </c>
      <c r="AB14" s="1">
        <v>6.72</v>
      </c>
      <c r="AC14" s="1" t="s">
        <v>51</v>
      </c>
      <c r="AH14" s="1">
        <v>4.9242424242424976E-2</v>
      </c>
      <c r="AJ14" s="1">
        <f t="shared" si="2"/>
        <v>0.95075757575757502</v>
      </c>
      <c r="AK14" s="1">
        <f t="shared" si="1"/>
        <v>-5.0496164014533051E-2</v>
      </c>
      <c r="AM14">
        <v>2</v>
      </c>
      <c r="AN14">
        <f>IF(ISNUMBER(AJ14),IF(AJ14&gt;=0.05,1,0),"")</f>
        <v>1</v>
      </c>
      <c r="AO14">
        <f>IF(ISNUMBER(AJ14),IF(AJ14&lt;0.005,1,0),"")</f>
        <v>0</v>
      </c>
      <c r="AQ14" s="34"/>
      <c r="AR14" s="35"/>
      <c r="AS14" s="36"/>
    </row>
    <row r="15" spans="1:45" ht="57" x14ac:dyDescent="0.45">
      <c r="A15" s="1" t="s">
        <v>47</v>
      </c>
      <c r="B15" s="1" t="s">
        <v>48</v>
      </c>
      <c r="C15" s="1">
        <v>40.5</v>
      </c>
      <c r="D15" s="1">
        <v>228.29</v>
      </c>
      <c r="E15" s="1">
        <v>3.32</v>
      </c>
      <c r="F15" s="1">
        <v>1.607</v>
      </c>
      <c r="G15" s="1">
        <v>1.58</v>
      </c>
      <c r="H15" s="1">
        <v>1.1000000000000001</v>
      </c>
      <c r="I15" s="1">
        <v>0.65</v>
      </c>
      <c r="J15" s="1">
        <v>1.73</v>
      </c>
      <c r="K15" s="1" t="s">
        <v>50</v>
      </c>
      <c r="R15" s="1" t="s">
        <v>52</v>
      </c>
      <c r="S15" s="1">
        <v>307.27999999999997</v>
      </c>
      <c r="T15" s="1">
        <v>377</v>
      </c>
      <c r="U15" s="1">
        <v>1.82</v>
      </c>
      <c r="V15" s="1">
        <v>9.4</v>
      </c>
      <c r="W15" s="1">
        <v>0</v>
      </c>
      <c r="X15" s="1">
        <f t="shared" si="0"/>
        <v>0</v>
      </c>
      <c r="Y15" s="11">
        <v>2.19</v>
      </c>
      <c r="Z15" s="1">
        <v>0.219</v>
      </c>
      <c r="AA15" s="1">
        <v>30.2024333102305</v>
      </c>
      <c r="AB15" s="1">
        <v>6.72</v>
      </c>
      <c r="AC15" s="1" t="s">
        <v>51</v>
      </c>
      <c r="AH15" s="1">
        <v>6.3181818181819005E-2</v>
      </c>
      <c r="AJ15" s="1">
        <f t="shared" si="2"/>
        <v>0.936818181818181</v>
      </c>
      <c r="AK15" s="1">
        <f t="shared" si="1"/>
        <v>-6.5266058455949072E-2</v>
      </c>
      <c r="AM15">
        <v>2</v>
      </c>
      <c r="AN15">
        <f>IF(ISNUMBER(AJ15),IF(AJ15&gt;=0.05,1,0),"")</f>
        <v>1</v>
      </c>
      <c r="AO15">
        <f>IF(ISNUMBER(AJ15),IF(AJ15&lt;0.005,1,0),"")</f>
        <v>0</v>
      </c>
      <c r="AQ15" s="34"/>
      <c r="AR15" s="35"/>
      <c r="AS15" s="36"/>
    </row>
    <row r="16" spans="1:45" ht="57" x14ac:dyDescent="0.45">
      <c r="A16" s="1" t="s">
        <v>47</v>
      </c>
      <c r="B16" s="1" t="s">
        <v>48</v>
      </c>
      <c r="C16" s="1">
        <v>40.5</v>
      </c>
      <c r="D16" s="1">
        <v>228.29</v>
      </c>
      <c r="E16" s="1">
        <v>3.32</v>
      </c>
      <c r="F16" s="1">
        <v>1.607</v>
      </c>
      <c r="G16" s="1">
        <v>1.58</v>
      </c>
      <c r="H16" s="1">
        <v>1.1000000000000001</v>
      </c>
      <c r="I16" s="1">
        <v>0.65</v>
      </c>
      <c r="J16" s="1">
        <v>1.73</v>
      </c>
      <c r="K16" s="1" t="s">
        <v>50</v>
      </c>
      <c r="R16" s="1" t="s">
        <v>52</v>
      </c>
      <c r="S16" s="1">
        <v>307.27999999999997</v>
      </c>
      <c r="T16" s="1">
        <v>377</v>
      </c>
      <c r="U16" s="1">
        <v>1.82</v>
      </c>
      <c r="V16" s="1">
        <v>9.4</v>
      </c>
      <c r="W16" s="1">
        <v>0</v>
      </c>
      <c r="X16" s="1">
        <f t="shared" si="0"/>
        <v>0</v>
      </c>
      <c r="Y16" s="11">
        <v>2.19</v>
      </c>
      <c r="Z16" s="1">
        <v>0.219</v>
      </c>
      <c r="AA16" s="1">
        <v>45.176843541752199</v>
      </c>
      <c r="AB16" s="1">
        <v>6.72</v>
      </c>
      <c r="AC16" s="1" t="s">
        <v>51</v>
      </c>
      <c r="AH16" s="1">
        <v>7.0151515151515964E-2</v>
      </c>
      <c r="AJ16" s="1">
        <f t="shared" si="2"/>
        <v>0.92984848484848404</v>
      </c>
      <c r="AK16" s="1">
        <f t="shared" si="1"/>
        <v>-7.2733625625420781E-2</v>
      </c>
      <c r="AM16">
        <v>2</v>
      </c>
      <c r="AN16">
        <f>IF(ISNUMBER(AJ16),IF(AJ16&gt;=0.05,1,0),"")</f>
        <v>1</v>
      </c>
      <c r="AO16">
        <f>IF(ISNUMBER(AJ16),IF(AJ16&lt;0.005,1,0),"")</f>
        <v>0</v>
      </c>
      <c r="AQ16" s="34"/>
      <c r="AR16" s="35"/>
      <c r="AS16" s="36"/>
    </row>
    <row r="17" spans="1:45" ht="57" x14ac:dyDescent="0.45">
      <c r="A17" s="1" t="s">
        <v>47</v>
      </c>
      <c r="B17" s="1" t="s">
        <v>48</v>
      </c>
      <c r="C17" s="1">
        <v>40.5</v>
      </c>
      <c r="D17" s="1">
        <v>228.29</v>
      </c>
      <c r="E17" s="1">
        <v>3.32</v>
      </c>
      <c r="F17" s="1">
        <v>1.607</v>
      </c>
      <c r="G17" s="1">
        <v>1.58</v>
      </c>
      <c r="H17" s="1">
        <v>1.1000000000000001</v>
      </c>
      <c r="I17" s="1">
        <v>0.65</v>
      </c>
      <c r="J17" s="1">
        <v>1.73</v>
      </c>
      <c r="K17" s="1" t="s">
        <v>50</v>
      </c>
      <c r="R17" s="1" t="s">
        <v>52</v>
      </c>
      <c r="S17" s="1">
        <v>307.27999999999997</v>
      </c>
      <c r="T17" s="1">
        <v>377</v>
      </c>
      <c r="U17" s="1">
        <v>1.82</v>
      </c>
      <c r="V17" s="1">
        <v>9.4</v>
      </c>
      <c r="W17" s="1">
        <v>0</v>
      </c>
      <c r="X17" s="1">
        <f t="shared" si="0"/>
        <v>0</v>
      </c>
      <c r="Y17" s="11">
        <v>2.19</v>
      </c>
      <c r="Z17" s="1">
        <v>0.219</v>
      </c>
      <c r="AA17" s="1">
        <v>60.503592837545</v>
      </c>
      <c r="AB17" s="1">
        <v>6.72</v>
      </c>
      <c r="AC17" s="1" t="s">
        <v>51</v>
      </c>
      <c r="AH17" s="1">
        <v>5.9696969696970026E-2</v>
      </c>
      <c r="AJ17" s="1">
        <f t="shared" si="2"/>
        <v>0.94030303030302997</v>
      </c>
      <c r="AK17" s="1">
        <f t="shared" si="1"/>
        <v>-6.155308300619175E-2</v>
      </c>
      <c r="AM17">
        <v>2</v>
      </c>
      <c r="AN17">
        <f>IF(ISNUMBER(AJ17),IF(AJ17&gt;=0.05,1,0),"")</f>
        <v>1</v>
      </c>
      <c r="AO17">
        <f>IF(ISNUMBER(AJ17),IF(AJ17&lt;0.005,1,0),"")</f>
        <v>0</v>
      </c>
      <c r="AQ17" s="34"/>
      <c r="AR17" s="35"/>
      <c r="AS17" s="36"/>
    </row>
    <row r="18" spans="1:45" ht="57" x14ac:dyDescent="0.45">
      <c r="A18" s="1" t="s">
        <v>47</v>
      </c>
      <c r="B18" s="1" t="s">
        <v>48</v>
      </c>
      <c r="C18" s="1">
        <v>40.5</v>
      </c>
      <c r="D18" s="1">
        <v>228.29</v>
      </c>
      <c r="E18" s="1">
        <v>3.32</v>
      </c>
      <c r="F18" s="1">
        <v>1.607</v>
      </c>
      <c r="G18" s="1">
        <v>1.58</v>
      </c>
      <c r="H18" s="1">
        <v>1.1000000000000001</v>
      </c>
      <c r="I18" s="1">
        <v>0.65</v>
      </c>
      <c r="J18" s="1">
        <v>1.73</v>
      </c>
      <c r="K18" s="1" t="s">
        <v>53</v>
      </c>
      <c r="N18" s="1">
        <v>4.88</v>
      </c>
      <c r="O18" s="1">
        <v>8.6199999999999992</v>
      </c>
      <c r="Q18" s="1">
        <v>33</v>
      </c>
      <c r="R18" s="1" t="s">
        <v>52</v>
      </c>
      <c r="S18" s="1">
        <v>307.27999999999997</v>
      </c>
      <c r="T18" s="1">
        <v>377</v>
      </c>
      <c r="U18" s="1">
        <v>1.82</v>
      </c>
      <c r="V18" s="1">
        <v>9.4</v>
      </c>
      <c r="W18" s="1">
        <v>0.4</v>
      </c>
      <c r="X18" s="1">
        <f t="shared" si="0"/>
        <v>400</v>
      </c>
      <c r="Y18" s="11">
        <v>2.19</v>
      </c>
      <c r="Z18" s="1">
        <v>0.219</v>
      </c>
      <c r="AA18" s="1">
        <v>0</v>
      </c>
      <c r="AB18" s="1">
        <v>6.72</v>
      </c>
      <c r="AC18" s="1" t="s">
        <v>51</v>
      </c>
      <c r="AH18" s="1">
        <v>0</v>
      </c>
      <c r="AI18" s="1">
        <f>-AK24/AA24</f>
        <v>4.631710437772509E-3</v>
      </c>
      <c r="AJ18" s="1">
        <f t="shared" ref="AJ18" si="4">1-AH18</f>
        <v>1</v>
      </c>
      <c r="AK18" s="1">
        <f t="shared" si="1"/>
        <v>0</v>
      </c>
      <c r="AL18" s="1">
        <v>3.4670239778030101E-3</v>
      </c>
      <c r="AM18">
        <v>3</v>
      </c>
      <c r="AN18">
        <f>IF(ISNUMBER(AJ18),IF(AJ18&gt;=0.05,1,0),"")</f>
        <v>1</v>
      </c>
      <c r="AO18">
        <f>IF(ISNUMBER(AJ18),IF(AJ18&lt;0.005,1,0),"")</f>
        <v>0</v>
      </c>
      <c r="AP18">
        <f>IFERROR(MATCH(0,AN18:AN24,0)-1,7)</f>
        <v>7</v>
      </c>
      <c r="AQ18" s="34">
        <f>IF(AP18&lt;3,"n&lt;3",IFERROR(-SLOPE(AK18:INDEX(AK18:AK24,AP18),AA18:INDEX(AA18:AA24,AP18)),"no fit"))</f>
        <v>4.1866910692231049E-3</v>
      </c>
      <c r="AR18" s="35">
        <f>IF(AP18&lt;3,"",IFERROR(RSQ(AK18:INDEX(AK18:AK24,AP18),AA18:INDEX(AA18:AA24,AP18)),"flat"))</f>
        <v>0.82164876622321159</v>
      </c>
      <c r="AS18" s="36">
        <f>IFERROR(AQ18/AI18,"")</f>
        <v>0.90391900043660245</v>
      </c>
    </row>
    <row r="19" spans="1:45" ht="57" x14ac:dyDescent="0.45">
      <c r="A19" s="1" t="s">
        <v>47</v>
      </c>
      <c r="B19" s="1" t="s">
        <v>48</v>
      </c>
      <c r="C19" s="1">
        <v>40.5</v>
      </c>
      <c r="D19" s="1">
        <v>228.29</v>
      </c>
      <c r="E19" s="1">
        <v>3.32</v>
      </c>
      <c r="F19" s="1">
        <v>1.607</v>
      </c>
      <c r="G19" s="1">
        <v>1.58</v>
      </c>
      <c r="H19" s="1">
        <v>1.1000000000000001</v>
      </c>
      <c r="I19" s="1">
        <v>0.65</v>
      </c>
      <c r="J19" s="1">
        <v>1.73</v>
      </c>
      <c r="K19" s="1" t="s">
        <v>53</v>
      </c>
      <c r="N19" s="1">
        <v>4.88</v>
      </c>
      <c r="O19" s="1">
        <v>8.6199999999999992</v>
      </c>
      <c r="Q19" s="1">
        <v>33</v>
      </c>
      <c r="R19" s="1" t="s">
        <v>52</v>
      </c>
      <c r="S19" s="1">
        <v>307.27999999999997</v>
      </c>
      <c r="T19" s="1">
        <v>377</v>
      </c>
      <c r="U19" s="1">
        <v>1.82</v>
      </c>
      <c r="V19" s="1">
        <v>9.4</v>
      </c>
      <c r="W19" s="1">
        <v>0.4</v>
      </c>
      <c r="X19" s="1">
        <f t="shared" si="0"/>
        <v>400</v>
      </c>
      <c r="Y19" s="11">
        <v>2.19</v>
      </c>
      <c r="Z19" s="1">
        <v>0.219</v>
      </c>
      <c r="AA19" s="1">
        <v>5.0101902148469897</v>
      </c>
      <c r="AB19" s="1">
        <v>6.72</v>
      </c>
      <c r="AC19" s="1" t="s">
        <v>51</v>
      </c>
      <c r="AH19" s="1">
        <v>8.4090909090909993E-2</v>
      </c>
      <c r="AJ19" s="1">
        <f t="shared" si="2"/>
        <v>0.91590909090909001</v>
      </c>
      <c r="AK19" s="1">
        <f t="shared" si="1"/>
        <v>-8.7838164965624854E-2</v>
      </c>
      <c r="AM19">
        <v>3</v>
      </c>
      <c r="AN19">
        <f>IF(ISNUMBER(AJ19),IF(AJ19&gt;=0.05,1,0),"")</f>
        <v>1</v>
      </c>
      <c r="AO19">
        <f>IF(ISNUMBER(AJ19),IF(AJ19&lt;0.005,1,0),"")</f>
        <v>0</v>
      </c>
      <c r="AQ19" s="34"/>
      <c r="AR19" s="35"/>
      <c r="AS19" s="36"/>
    </row>
    <row r="20" spans="1:45" ht="57" x14ac:dyDescent="0.45">
      <c r="A20" s="1" t="s">
        <v>47</v>
      </c>
      <c r="B20" s="1" t="s">
        <v>48</v>
      </c>
      <c r="C20" s="1">
        <v>40.5</v>
      </c>
      <c r="D20" s="1">
        <v>228.29</v>
      </c>
      <c r="E20" s="1">
        <v>3.32</v>
      </c>
      <c r="F20" s="1">
        <v>1.607</v>
      </c>
      <c r="G20" s="1">
        <v>1.58</v>
      </c>
      <c r="H20" s="1">
        <v>1.1000000000000001</v>
      </c>
      <c r="I20" s="1">
        <v>0.65</v>
      </c>
      <c r="J20" s="1">
        <v>1.73</v>
      </c>
      <c r="K20" s="1" t="s">
        <v>53</v>
      </c>
      <c r="N20" s="1">
        <v>4.88</v>
      </c>
      <c r="O20" s="1">
        <v>8.6199999999999992</v>
      </c>
      <c r="Q20" s="1">
        <v>33</v>
      </c>
      <c r="R20" s="1" t="s">
        <v>52</v>
      </c>
      <c r="S20" s="1">
        <v>307.27999999999997</v>
      </c>
      <c r="T20" s="1">
        <v>377</v>
      </c>
      <c r="U20" s="1">
        <v>1.82</v>
      </c>
      <c r="V20" s="1">
        <v>9.4</v>
      </c>
      <c r="W20" s="1">
        <v>0.4</v>
      </c>
      <c r="X20" s="1">
        <f t="shared" si="0"/>
        <v>400</v>
      </c>
      <c r="Y20" s="11">
        <v>2.19</v>
      </c>
      <c r="Z20" s="1">
        <v>0.219</v>
      </c>
      <c r="AA20" s="1">
        <v>9.7667675825068301</v>
      </c>
      <c r="AB20" s="1">
        <v>6.72</v>
      </c>
      <c r="AC20" s="1" t="s">
        <v>51</v>
      </c>
      <c r="AH20" s="1">
        <v>0.12939393939393995</v>
      </c>
      <c r="AJ20" s="1">
        <f t="shared" si="2"/>
        <v>0.87060606060606005</v>
      </c>
      <c r="AK20" s="1">
        <f t="shared" si="1"/>
        <v>-0.13856568847528269</v>
      </c>
      <c r="AM20">
        <v>3</v>
      </c>
      <c r="AN20">
        <f>IF(ISNUMBER(AJ20),IF(AJ20&gt;=0.05,1,0),"")</f>
        <v>1</v>
      </c>
      <c r="AO20">
        <f>IF(ISNUMBER(AJ20),IF(AJ20&lt;0.005,1,0),"")</f>
        <v>0</v>
      </c>
      <c r="AQ20" s="34"/>
      <c r="AR20" s="35"/>
      <c r="AS20" s="36"/>
    </row>
    <row r="21" spans="1:45" ht="57" x14ac:dyDescent="0.45">
      <c r="A21" s="1" t="s">
        <v>47</v>
      </c>
      <c r="B21" s="1" t="s">
        <v>48</v>
      </c>
      <c r="C21" s="1">
        <v>40.5</v>
      </c>
      <c r="D21" s="1">
        <v>228.29</v>
      </c>
      <c r="E21" s="1">
        <v>3.32</v>
      </c>
      <c r="F21" s="1">
        <v>1.607</v>
      </c>
      <c r="G21" s="1">
        <v>1.58</v>
      </c>
      <c r="H21" s="1">
        <v>1.1000000000000001</v>
      </c>
      <c r="I21" s="1">
        <v>0.65</v>
      </c>
      <c r="J21" s="1">
        <v>1.73</v>
      </c>
      <c r="K21" s="1" t="s">
        <v>53</v>
      </c>
      <c r="N21" s="1">
        <v>4.88</v>
      </c>
      <c r="O21" s="1">
        <v>8.6199999999999992</v>
      </c>
      <c r="Q21" s="1">
        <v>33</v>
      </c>
      <c r="R21" s="1" t="s">
        <v>52</v>
      </c>
      <c r="S21" s="1">
        <v>307.27999999999997</v>
      </c>
      <c r="T21" s="1">
        <v>377</v>
      </c>
      <c r="U21" s="1">
        <v>1.82</v>
      </c>
      <c r="V21" s="1">
        <v>9.4</v>
      </c>
      <c r="W21" s="1">
        <v>0.4</v>
      </c>
      <c r="X21" s="1">
        <f t="shared" si="0"/>
        <v>400</v>
      </c>
      <c r="Y21" s="11">
        <v>2.19</v>
      </c>
      <c r="Z21" s="1">
        <v>0.219</v>
      </c>
      <c r="AA21" s="1">
        <v>20.689278574910801</v>
      </c>
      <c r="AB21" s="1">
        <v>6.72</v>
      </c>
      <c r="AC21" s="1" t="s">
        <v>51</v>
      </c>
      <c r="AH21" s="1">
        <v>0.178181818181819</v>
      </c>
      <c r="AJ21" s="1">
        <f t="shared" si="2"/>
        <v>0.821818181818181</v>
      </c>
      <c r="AK21" s="1">
        <f t="shared" si="1"/>
        <v>-0.19623609839428641</v>
      </c>
      <c r="AM21">
        <v>3</v>
      </c>
      <c r="AN21">
        <f>IF(ISNUMBER(AJ21),IF(AJ21&gt;=0.05,1,0),"")</f>
        <v>1</v>
      </c>
      <c r="AO21">
        <f>IF(ISNUMBER(AJ21),IF(AJ21&lt;0.005,1,0),"")</f>
        <v>0</v>
      </c>
      <c r="AQ21" s="34"/>
      <c r="AR21" s="35"/>
      <c r="AS21" s="36"/>
    </row>
    <row r="22" spans="1:45" ht="57" x14ac:dyDescent="0.45">
      <c r="A22" s="1" t="s">
        <v>47</v>
      </c>
      <c r="B22" s="1" t="s">
        <v>48</v>
      </c>
      <c r="C22" s="1">
        <v>40.5</v>
      </c>
      <c r="D22" s="1">
        <v>228.29</v>
      </c>
      <c r="E22" s="1">
        <v>3.32</v>
      </c>
      <c r="F22" s="1">
        <v>1.607</v>
      </c>
      <c r="G22" s="1">
        <v>1.58</v>
      </c>
      <c r="H22" s="1">
        <v>1.1000000000000001</v>
      </c>
      <c r="I22" s="1">
        <v>0.65</v>
      </c>
      <c r="J22" s="1">
        <v>1.73</v>
      </c>
      <c r="K22" s="1" t="s">
        <v>53</v>
      </c>
      <c r="N22" s="1">
        <v>4.88</v>
      </c>
      <c r="O22" s="1">
        <v>8.6199999999999992</v>
      </c>
      <c r="Q22" s="1">
        <v>33</v>
      </c>
      <c r="R22" s="1" t="s">
        <v>52</v>
      </c>
      <c r="S22" s="1">
        <v>307.27999999999997</v>
      </c>
      <c r="T22" s="1">
        <v>377</v>
      </c>
      <c r="U22" s="1">
        <v>1.82</v>
      </c>
      <c r="V22" s="1">
        <v>9.4</v>
      </c>
      <c r="W22" s="1">
        <v>0.4</v>
      </c>
      <c r="X22" s="1">
        <f t="shared" si="0"/>
        <v>400</v>
      </c>
      <c r="Y22" s="11">
        <v>2.19</v>
      </c>
      <c r="Z22" s="1">
        <v>0.219</v>
      </c>
      <c r="AA22" s="1">
        <v>30.378602842366099</v>
      </c>
      <c r="AB22" s="1">
        <v>6.72</v>
      </c>
      <c r="AC22" s="1" t="s">
        <v>51</v>
      </c>
      <c r="AH22" s="1">
        <v>0.21651515151515199</v>
      </c>
      <c r="AJ22" s="1">
        <f t="shared" si="2"/>
        <v>0.78348484848484801</v>
      </c>
      <c r="AK22" s="1">
        <f t="shared" si="1"/>
        <v>-0.24400355561829604</v>
      </c>
      <c r="AM22">
        <v>3</v>
      </c>
      <c r="AN22">
        <f>IF(ISNUMBER(AJ22),IF(AJ22&gt;=0.05,1,0),"")</f>
        <v>1</v>
      </c>
      <c r="AO22">
        <f>IF(ISNUMBER(AJ22),IF(AJ22&lt;0.005,1,0),"")</f>
        <v>0</v>
      </c>
      <c r="AQ22" s="34"/>
      <c r="AR22" s="35"/>
      <c r="AS22" s="36"/>
    </row>
    <row r="23" spans="1:45" ht="57" x14ac:dyDescent="0.45">
      <c r="A23" s="1" t="s">
        <v>47</v>
      </c>
      <c r="B23" s="1" t="s">
        <v>48</v>
      </c>
      <c r="C23" s="1">
        <v>40.5</v>
      </c>
      <c r="D23" s="1">
        <v>228.29</v>
      </c>
      <c r="E23" s="1">
        <v>3.32</v>
      </c>
      <c r="F23" s="1">
        <v>1.607</v>
      </c>
      <c r="G23" s="1">
        <v>1.58</v>
      </c>
      <c r="H23" s="1">
        <v>1.1000000000000001</v>
      </c>
      <c r="I23" s="1">
        <v>0.65</v>
      </c>
      <c r="J23" s="1">
        <v>1.73</v>
      </c>
      <c r="K23" s="1" t="s">
        <v>53</v>
      </c>
      <c r="N23" s="1">
        <v>4.88</v>
      </c>
      <c r="O23" s="1">
        <v>8.6199999999999992</v>
      </c>
      <c r="Q23" s="1">
        <v>33</v>
      </c>
      <c r="R23" s="1" t="s">
        <v>52</v>
      </c>
      <c r="S23" s="1">
        <v>307.27999999999997</v>
      </c>
      <c r="T23" s="1">
        <v>377</v>
      </c>
      <c r="U23" s="1">
        <v>1.82</v>
      </c>
      <c r="V23" s="1">
        <v>9.4</v>
      </c>
      <c r="W23" s="1">
        <v>0.4</v>
      </c>
      <c r="X23" s="1">
        <f t="shared" si="0"/>
        <v>400</v>
      </c>
      <c r="Y23" s="11">
        <v>2.19</v>
      </c>
      <c r="Z23" s="1">
        <v>0.219</v>
      </c>
      <c r="AA23" s="1">
        <v>45.176843541752199</v>
      </c>
      <c r="AB23" s="1">
        <v>6.72</v>
      </c>
      <c r="AC23" s="1" t="s">
        <v>51</v>
      </c>
      <c r="AH23" s="1">
        <v>0.23045454545454602</v>
      </c>
      <c r="AJ23" s="1">
        <f t="shared" si="2"/>
        <v>0.76954545454545398</v>
      </c>
      <c r="AK23" s="1">
        <f t="shared" si="1"/>
        <v>-0.26195525721327262</v>
      </c>
      <c r="AM23">
        <v>3</v>
      </c>
      <c r="AN23">
        <f>IF(ISNUMBER(AJ23),IF(AJ23&gt;=0.05,1,0),"")</f>
        <v>1</v>
      </c>
      <c r="AO23">
        <f>IF(ISNUMBER(AJ23),IF(AJ23&lt;0.005,1,0),"")</f>
        <v>0</v>
      </c>
      <c r="AQ23" s="34"/>
      <c r="AR23" s="35"/>
      <c r="AS23" s="36"/>
    </row>
    <row r="24" spans="1:45" ht="57" x14ac:dyDescent="0.45">
      <c r="A24" s="1" t="s">
        <v>47</v>
      </c>
      <c r="B24" s="1" t="s">
        <v>48</v>
      </c>
      <c r="C24" s="1">
        <v>40.5</v>
      </c>
      <c r="D24" s="1">
        <v>228.29</v>
      </c>
      <c r="E24" s="1">
        <v>3.32</v>
      </c>
      <c r="F24" s="1">
        <v>1.607</v>
      </c>
      <c r="G24" s="1">
        <v>1.58</v>
      </c>
      <c r="H24" s="1">
        <v>1.1000000000000001</v>
      </c>
      <c r="I24" s="1">
        <v>0.65</v>
      </c>
      <c r="J24" s="1">
        <v>1.73</v>
      </c>
      <c r="K24" s="1" t="s">
        <v>53</v>
      </c>
      <c r="N24" s="1">
        <v>4.88</v>
      </c>
      <c r="O24" s="1">
        <v>8.6199999999999992</v>
      </c>
      <c r="Q24" s="1">
        <v>33</v>
      </c>
      <c r="R24" s="1" t="s">
        <v>52</v>
      </c>
      <c r="S24" s="1">
        <v>307.27999999999997</v>
      </c>
      <c r="T24" s="1">
        <v>377</v>
      </c>
      <c r="U24" s="1">
        <v>1.82</v>
      </c>
      <c r="V24" s="1">
        <v>9.4</v>
      </c>
      <c r="W24" s="1">
        <v>0.4</v>
      </c>
      <c r="X24" s="1">
        <f t="shared" si="0"/>
        <v>400</v>
      </c>
      <c r="Y24" s="11">
        <v>2.19</v>
      </c>
      <c r="Z24" s="1">
        <v>0.219</v>
      </c>
      <c r="AA24" s="1">
        <v>60.503592837545</v>
      </c>
      <c r="AB24" s="1">
        <v>6.72</v>
      </c>
      <c r="AC24" s="1" t="s">
        <v>51</v>
      </c>
      <c r="AH24" s="1">
        <v>0.24439393939394005</v>
      </c>
      <c r="AJ24" s="1">
        <f t="shared" si="2"/>
        <v>0.75560606060605995</v>
      </c>
      <c r="AK24" s="1">
        <f t="shared" si="1"/>
        <v>-0.28023512246839521</v>
      </c>
      <c r="AM24">
        <v>3</v>
      </c>
      <c r="AN24">
        <f>IF(ISNUMBER(AJ24),IF(AJ24&gt;=0.05,1,0),"")</f>
        <v>1</v>
      </c>
      <c r="AO24">
        <f>IF(ISNUMBER(AJ24),IF(AJ24&lt;0.005,1,0),"")</f>
        <v>0</v>
      </c>
      <c r="AQ24" s="34"/>
      <c r="AR24" s="35"/>
      <c r="AS24" s="36"/>
    </row>
    <row r="25" spans="1:45" ht="57" x14ac:dyDescent="0.45">
      <c r="A25" s="1" t="s">
        <v>47</v>
      </c>
      <c r="B25" s="1" t="s">
        <v>48</v>
      </c>
      <c r="C25" s="1">
        <v>40.5</v>
      </c>
      <c r="D25" s="1">
        <v>228.29</v>
      </c>
      <c r="E25" s="1">
        <v>3.32</v>
      </c>
      <c r="F25" s="1">
        <v>1.607</v>
      </c>
      <c r="G25" s="1">
        <v>1.58</v>
      </c>
      <c r="H25" s="1">
        <v>1.1000000000000001</v>
      </c>
      <c r="I25" s="1">
        <v>0.65</v>
      </c>
      <c r="J25" s="1">
        <v>1.73</v>
      </c>
      <c r="K25" s="1" t="s">
        <v>54</v>
      </c>
      <c r="N25" s="1">
        <v>29.84</v>
      </c>
      <c r="O25" s="1">
        <v>15.14</v>
      </c>
      <c r="Q25" s="1">
        <v>35</v>
      </c>
      <c r="R25" s="1" t="s">
        <v>52</v>
      </c>
      <c r="S25" s="1">
        <v>307.27999999999997</v>
      </c>
      <c r="T25" s="1">
        <v>377</v>
      </c>
      <c r="U25" s="1">
        <v>1.82</v>
      </c>
      <c r="V25" s="1">
        <v>9.4</v>
      </c>
      <c r="W25" s="1">
        <v>0.4</v>
      </c>
      <c r="X25" s="1">
        <f t="shared" si="0"/>
        <v>400</v>
      </c>
      <c r="Y25" s="11">
        <v>2.19</v>
      </c>
      <c r="Z25" s="1">
        <v>0.219</v>
      </c>
      <c r="AA25" s="1">
        <v>0</v>
      </c>
      <c r="AB25" s="1">
        <v>6.72</v>
      </c>
      <c r="AC25" s="1" t="s">
        <v>51</v>
      </c>
      <c r="AH25" s="1">
        <v>0</v>
      </c>
      <c r="AI25" s="1">
        <f>-AK31/AA31</f>
        <v>1.2520757021066711E-2</v>
      </c>
      <c r="AJ25" s="1">
        <f t="shared" ref="AJ25" si="5">1-AH25</f>
        <v>1</v>
      </c>
      <c r="AK25" s="1">
        <f t="shared" si="1"/>
        <v>0</v>
      </c>
      <c r="AL25" s="1">
        <v>1.14715545864834E-2</v>
      </c>
      <c r="AM25">
        <v>4</v>
      </c>
      <c r="AN25">
        <f>IF(ISNUMBER(AJ25),IF(AJ25&gt;=0.05,1,0),"")</f>
        <v>1</v>
      </c>
      <c r="AO25">
        <f>IF(ISNUMBER(AJ25),IF(AJ25&lt;0.005,1,0),"")</f>
        <v>0</v>
      </c>
      <c r="AP25">
        <f>IFERROR(MATCH(0,AN25:AN31,0)-1,7)</f>
        <v>7</v>
      </c>
      <c r="AQ25" s="34">
        <f>IF(AP25&lt;3,"n&lt;3",IFERROR(-SLOPE(AK25:INDEX(AK25:AK31,AP25),AA25:INDEX(AA25:AA31,AP25)),"no fit"))</f>
        <v>1.2311973738534853E-2</v>
      </c>
      <c r="AR25" s="35">
        <f>IF(AP25&lt;3,"",IFERROR(RSQ(AK25:INDEX(AK25:AK31,AP25),AA25:INDEX(AA25:AA31,AP25)),"flat"))</f>
        <v>0.98888924714392468</v>
      </c>
      <c r="AS25" s="36">
        <f>IFERROR(AQ25/AI25,"")</f>
        <v>0.98332502721835657</v>
      </c>
    </row>
    <row r="26" spans="1:45" ht="57" x14ac:dyDescent="0.45">
      <c r="A26" s="1" t="s">
        <v>47</v>
      </c>
      <c r="B26" s="1" t="s">
        <v>48</v>
      </c>
      <c r="C26" s="1">
        <v>40.5</v>
      </c>
      <c r="D26" s="1">
        <v>228.29</v>
      </c>
      <c r="E26" s="1">
        <v>3.32</v>
      </c>
      <c r="F26" s="1">
        <v>1.607</v>
      </c>
      <c r="G26" s="1">
        <v>1.58</v>
      </c>
      <c r="H26" s="1">
        <v>1.1000000000000001</v>
      </c>
      <c r="I26" s="1">
        <v>0.65</v>
      </c>
      <c r="J26" s="1">
        <v>1.73</v>
      </c>
      <c r="K26" s="1" t="s">
        <v>54</v>
      </c>
      <c r="N26" s="1">
        <v>29.84</v>
      </c>
      <c r="O26" s="1">
        <v>15.14</v>
      </c>
      <c r="Q26" s="1">
        <v>35</v>
      </c>
      <c r="R26" s="1" t="s">
        <v>52</v>
      </c>
      <c r="S26" s="1">
        <v>307.27999999999997</v>
      </c>
      <c r="T26" s="1">
        <v>377</v>
      </c>
      <c r="U26" s="1">
        <v>1.82</v>
      </c>
      <c r="V26" s="1">
        <v>9.4</v>
      </c>
      <c r="W26" s="1">
        <v>0.4</v>
      </c>
      <c r="X26" s="1">
        <f t="shared" si="0"/>
        <v>400</v>
      </c>
      <c r="Y26" s="11">
        <v>2.19</v>
      </c>
      <c r="Z26" s="1">
        <v>0.219</v>
      </c>
      <c r="AA26" s="1">
        <v>4.83402068271144</v>
      </c>
      <c r="AB26" s="1">
        <v>6.72</v>
      </c>
      <c r="AC26" s="1" t="s">
        <v>51</v>
      </c>
      <c r="AH26" s="1">
        <v>0.11196969696969705</v>
      </c>
      <c r="AJ26" s="1">
        <f t="shared" si="2"/>
        <v>0.88803030303030295</v>
      </c>
      <c r="AK26" s="1">
        <f t="shared" si="1"/>
        <v>-0.11874941153808778</v>
      </c>
      <c r="AM26">
        <v>4</v>
      </c>
      <c r="AN26">
        <f>IF(ISNUMBER(AJ26),IF(AJ26&gt;=0.05,1,0),"")</f>
        <v>1</v>
      </c>
      <c r="AO26">
        <f>IF(ISNUMBER(AJ26),IF(AJ26&lt;0.005,1,0),"")</f>
        <v>0</v>
      </c>
      <c r="AQ26" s="34"/>
      <c r="AR26" s="35"/>
      <c r="AS26" s="36"/>
    </row>
    <row r="27" spans="1:45" ht="57" x14ac:dyDescent="0.45">
      <c r="A27" s="1" t="s">
        <v>47</v>
      </c>
      <c r="B27" s="1" t="s">
        <v>48</v>
      </c>
      <c r="C27" s="1">
        <v>40.5</v>
      </c>
      <c r="D27" s="1">
        <v>228.29</v>
      </c>
      <c r="E27" s="1">
        <v>3.32</v>
      </c>
      <c r="F27" s="1">
        <v>1.607</v>
      </c>
      <c r="G27" s="1">
        <v>1.58</v>
      </c>
      <c r="H27" s="1">
        <v>1.1000000000000001</v>
      </c>
      <c r="I27" s="1">
        <v>0.65</v>
      </c>
      <c r="J27" s="1">
        <v>1.73</v>
      </c>
      <c r="K27" s="1" t="s">
        <v>54</v>
      </c>
      <c r="N27" s="1">
        <v>29.84</v>
      </c>
      <c r="O27" s="1">
        <v>15.14</v>
      </c>
      <c r="Q27" s="1">
        <v>35</v>
      </c>
      <c r="R27" s="1" t="s">
        <v>52</v>
      </c>
      <c r="S27" s="1">
        <v>307.27999999999997</v>
      </c>
      <c r="T27" s="1">
        <v>377</v>
      </c>
      <c r="U27" s="1">
        <v>1.82</v>
      </c>
      <c r="V27" s="1">
        <v>9.4</v>
      </c>
      <c r="W27" s="1">
        <v>0.4</v>
      </c>
      <c r="X27" s="1">
        <f t="shared" si="0"/>
        <v>400</v>
      </c>
      <c r="Y27" s="11">
        <v>2.19</v>
      </c>
      <c r="Z27" s="1">
        <v>0.219</v>
      </c>
      <c r="AA27" s="1">
        <v>10.119106646777899</v>
      </c>
      <c r="AB27" s="1">
        <v>6.72</v>
      </c>
      <c r="AC27" s="1" t="s">
        <v>51</v>
      </c>
      <c r="AH27" s="1">
        <v>0.16075757575757599</v>
      </c>
      <c r="AJ27" s="1">
        <f t="shared" si="2"/>
        <v>0.83924242424242401</v>
      </c>
      <c r="AK27" s="1">
        <f t="shared" si="1"/>
        <v>-0.17525566998141329</v>
      </c>
      <c r="AM27">
        <v>4</v>
      </c>
      <c r="AN27">
        <f>IF(ISNUMBER(AJ27),IF(AJ27&gt;=0.05,1,0),"")</f>
        <v>1</v>
      </c>
      <c r="AO27">
        <f>IF(ISNUMBER(AJ27),IF(AJ27&lt;0.005,1,0),"")</f>
        <v>0</v>
      </c>
      <c r="AQ27" s="34"/>
      <c r="AR27" s="35"/>
      <c r="AS27" s="36"/>
    </row>
    <row r="28" spans="1:45" ht="57" x14ac:dyDescent="0.45">
      <c r="A28" s="1" t="s">
        <v>47</v>
      </c>
      <c r="B28" s="1" t="s">
        <v>48</v>
      </c>
      <c r="C28" s="1">
        <v>40.5</v>
      </c>
      <c r="D28" s="1">
        <v>228.29</v>
      </c>
      <c r="E28" s="1">
        <v>3.32</v>
      </c>
      <c r="F28" s="1">
        <v>1.607</v>
      </c>
      <c r="G28" s="1">
        <v>1.58</v>
      </c>
      <c r="H28" s="1">
        <v>1.1000000000000001</v>
      </c>
      <c r="I28" s="1">
        <v>0.65</v>
      </c>
      <c r="J28" s="1">
        <v>1.73</v>
      </c>
      <c r="K28" s="1" t="s">
        <v>54</v>
      </c>
      <c r="N28" s="1">
        <v>29.84</v>
      </c>
      <c r="O28" s="1">
        <v>15.14</v>
      </c>
      <c r="Q28" s="1">
        <v>35</v>
      </c>
      <c r="R28" s="1" t="s">
        <v>52</v>
      </c>
      <c r="S28" s="1">
        <v>307.27999999999997</v>
      </c>
      <c r="T28" s="1">
        <v>377</v>
      </c>
      <c r="U28" s="1">
        <v>1.82</v>
      </c>
      <c r="V28" s="1">
        <v>9.4</v>
      </c>
      <c r="W28" s="1">
        <v>0.4</v>
      </c>
      <c r="X28" s="1">
        <f t="shared" si="0"/>
        <v>400</v>
      </c>
      <c r="Y28" s="11">
        <v>2.19</v>
      </c>
      <c r="Z28" s="1">
        <v>0.219</v>
      </c>
      <c r="AA28" s="1">
        <v>20.160769978504199</v>
      </c>
      <c r="AB28" s="1">
        <v>6.72</v>
      </c>
      <c r="AC28" s="1" t="s">
        <v>51</v>
      </c>
      <c r="AH28" s="1">
        <v>0.26181818181818195</v>
      </c>
      <c r="AJ28" s="1">
        <f t="shared" si="2"/>
        <v>0.73818181818181805</v>
      </c>
      <c r="AK28" s="1">
        <f t="shared" si="1"/>
        <v>-0.30356511862478414</v>
      </c>
      <c r="AM28">
        <v>4</v>
      </c>
      <c r="AN28">
        <f>IF(ISNUMBER(AJ28),IF(AJ28&gt;=0.05,1,0),"")</f>
        <v>1</v>
      </c>
      <c r="AO28">
        <f>IF(ISNUMBER(AJ28),IF(AJ28&lt;0.005,1,0),"")</f>
        <v>0</v>
      </c>
      <c r="AQ28" s="34"/>
      <c r="AR28" s="35"/>
      <c r="AS28" s="36"/>
    </row>
    <row r="29" spans="1:45" ht="57" x14ac:dyDescent="0.45">
      <c r="A29" s="1" t="s">
        <v>47</v>
      </c>
      <c r="B29" s="1" t="s">
        <v>48</v>
      </c>
      <c r="C29" s="1">
        <v>40.5</v>
      </c>
      <c r="D29" s="1">
        <v>228.29</v>
      </c>
      <c r="E29" s="1">
        <v>3.32</v>
      </c>
      <c r="F29" s="1">
        <v>1.607</v>
      </c>
      <c r="G29" s="1">
        <v>1.58</v>
      </c>
      <c r="H29" s="1">
        <v>1.1000000000000001</v>
      </c>
      <c r="I29" s="1">
        <v>0.65</v>
      </c>
      <c r="J29" s="1">
        <v>1.73</v>
      </c>
      <c r="K29" s="1" t="s">
        <v>54</v>
      </c>
      <c r="N29" s="1">
        <v>29.84</v>
      </c>
      <c r="O29" s="1">
        <v>15.14</v>
      </c>
      <c r="Q29" s="1">
        <v>35</v>
      </c>
      <c r="R29" s="1" t="s">
        <v>52</v>
      </c>
      <c r="S29" s="1">
        <v>307.27999999999997</v>
      </c>
      <c r="T29" s="1">
        <v>377</v>
      </c>
      <c r="U29" s="1">
        <v>1.82</v>
      </c>
      <c r="V29" s="1">
        <v>9.4</v>
      </c>
      <c r="W29" s="1">
        <v>0.4</v>
      </c>
      <c r="X29" s="1">
        <f t="shared" si="0"/>
        <v>400</v>
      </c>
      <c r="Y29" s="11">
        <v>2.19</v>
      </c>
      <c r="Z29" s="1">
        <v>0.219</v>
      </c>
      <c r="AA29" s="1">
        <v>30.378602842366099</v>
      </c>
      <c r="AB29" s="1">
        <v>6.72</v>
      </c>
      <c r="AC29" s="1" t="s">
        <v>51</v>
      </c>
      <c r="AH29" s="1">
        <v>0.32106060606060605</v>
      </c>
      <c r="AJ29" s="1">
        <f t="shared" si="2"/>
        <v>0.67893939393939395</v>
      </c>
      <c r="AK29" s="1">
        <f t="shared" si="1"/>
        <v>-0.38722341322837389</v>
      </c>
      <c r="AM29">
        <v>4</v>
      </c>
      <c r="AN29">
        <f>IF(ISNUMBER(AJ29),IF(AJ29&gt;=0.05,1,0),"")</f>
        <v>1</v>
      </c>
      <c r="AO29">
        <f>IF(ISNUMBER(AJ29),IF(AJ29&lt;0.005,1,0),"")</f>
        <v>0</v>
      </c>
      <c r="AQ29" s="34"/>
      <c r="AR29" s="35"/>
      <c r="AS29" s="36"/>
    </row>
    <row r="30" spans="1:45" ht="57" x14ac:dyDescent="0.45">
      <c r="A30" s="1" t="s">
        <v>47</v>
      </c>
      <c r="B30" s="1" t="s">
        <v>48</v>
      </c>
      <c r="C30" s="1">
        <v>40.5</v>
      </c>
      <c r="D30" s="1">
        <v>228.29</v>
      </c>
      <c r="E30" s="1">
        <v>3.32</v>
      </c>
      <c r="F30" s="1">
        <v>1.607</v>
      </c>
      <c r="G30" s="1">
        <v>1.58</v>
      </c>
      <c r="H30" s="1">
        <v>1.1000000000000001</v>
      </c>
      <c r="I30" s="1">
        <v>0.65</v>
      </c>
      <c r="J30" s="1">
        <v>1.73</v>
      </c>
      <c r="K30" s="1" t="s">
        <v>54</v>
      </c>
      <c r="N30" s="1">
        <v>29.84</v>
      </c>
      <c r="O30" s="1">
        <v>15.14</v>
      </c>
      <c r="Q30" s="1">
        <v>35</v>
      </c>
      <c r="R30" s="1" t="s">
        <v>52</v>
      </c>
      <c r="S30" s="1">
        <v>307.27999999999997</v>
      </c>
      <c r="T30" s="1">
        <v>377</v>
      </c>
      <c r="U30" s="1">
        <v>1.82</v>
      </c>
      <c r="V30" s="1">
        <v>9.4</v>
      </c>
      <c r="W30" s="1">
        <v>0.4</v>
      </c>
      <c r="X30" s="1">
        <f t="shared" si="0"/>
        <v>400</v>
      </c>
      <c r="Y30" s="11">
        <v>2.19</v>
      </c>
      <c r="Z30" s="1">
        <v>0.219</v>
      </c>
      <c r="AA30" s="1">
        <v>45.529182606023298</v>
      </c>
      <c r="AB30" s="1">
        <v>6.72</v>
      </c>
      <c r="AC30" s="1" t="s">
        <v>51</v>
      </c>
      <c r="AH30" s="1">
        <v>0.47090909090909105</v>
      </c>
      <c r="AJ30" s="1">
        <f t="shared" si="2"/>
        <v>0.52909090909090895</v>
      </c>
      <c r="AK30" s="1">
        <f t="shared" si="1"/>
        <v>-0.63659501105502436</v>
      </c>
      <c r="AM30">
        <v>4</v>
      </c>
      <c r="AN30">
        <f>IF(ISNUMBER(AJ30),IF(AJ30&gt;=0.05,1,0),"")</f>
        <v>1</v>
      </c>
      <c r="AO30">
        <f>IF(ISNUMBER(AJ30),IF(AJ30&lt;0.005,1,0),"")</f>
        <v>0</v>
      </c>
      <c r="AQ30" s="34"/>
      <c r="AR30" s="35"/>
      <c r="AS30" s="36"/>
    </row>
    <row r="31" spans="1:45" ht="57" x14ac:dyDescent="0.45">
      <c r="A31" s="1" t="s">
        <v>47</v>
      </c>
      <c r="B31" s="1" t="s">
        <v>48</v>
      </c>
      <c r="C31" s="1">
        <v>40.5</v>
      </c>
      <c r="D31" s="1">
        <v>228.29</v>
      </c>
      <c r="E31" s="1">
        <v>3.32</v>
      </c>
      <c r="F31" s="1">
        <v>1.607</v>
      </c>
      <c r="G31" s="1">
        <v>1.58</v>
      </c>
      <c r="H31" s="1">
        <v>1.1000000000000001</v>
      </c>
      <c r="I31" s="1">
        <v>0.65</v>
      </c>
      <c r="J31" s="1">
        <v>1.73</v>
      </c>
      <c r="K31" s="1" t="s">
        <v>54</v>
      </c>
      <c r="N31" s="1">
        <v>29.84</v>
      </c>
      <c r="O31" s="1">
        <v>15.14</v>
      </c>
      <c r="Q31" s="1">
        <v>35</v>
      </c>
      <c r="R31" s="1" t="s">
        <v>52</v>
      </c>
      <c r="S31" s="1">
        <v>307.27999999999997</v>
      </c>
      <c r="T31" s="1">
        <v>377</v>
      </c>
      <c r="U31" s="1">
        <v>1.82</v>
      </c>
      <c r="V31" s="1">
        <v>9.4</v>
      </c>
      <c r="W31" s="1">
        <v>0.4</v>
      </c>
      <c r="X31" s="1">
        <f t="shared" si="0"/>
        <v>400</v>
      </c>
      <c r="Y31" s="11">
        <v>2.19</v>
      </c>
      <c r="Z31" s="1">
        <v>0.219</v>
      </c>
      <c r="AA31" s="1">
        <v>60.327423305409503</v>
      </c>
      <c r="AB31" s="1">
        <v>6.72</v>
      </c>
      <c r="AC31" s="1" t="s">
        <v>51</v>
      </c>
      <c r="AH31" s="1">
        <v>0.53015151515151593</v>
      </c>
      <c r="AJ31" s="1">
        <f t="shared" si="2"/>
        <v>0.46984848484848407</v>
      </c>
      <c r="AK31" s="1">
        <f t="shared" si="1"/>
        <v>-0.75534500891406964</v>
      </c>
      <c r="AM31">
        <v>4</v>
      </c>
      <c r="AN31">
        <f>IF(ISNUMBER(AJ31),IF(AJ31&gt;=0.05,1,0),"")</f>
        <v>1</v>
      </c>
      <c r="AO31">
        <f>IF(ISNUMBER(AJ31),IF(AJ31&lt;0.005,1,0),"")</f>
        <v>0</v>
      </c>
      <c r="AQ31" s="34"/>
      <c r="AR31" s="35"/>
      <c r="AS31" s="36"/>
    </row>
    <row r="32" spans="1:45" ht="57" x14ac:dyDescent="0.45">
      <c r="A32" s="1" t="s">
        <v>47</v>
      </c>
      <c r="B32" s="1" t="s">
        <v>48</v>
      </c>
      <c r="C32" s="1">
        <v>40.5</v>
      </c>
      <c r="D32" s="1">
        <v>228.29</v>
      </c>
      <c r="E32" s="1">
        <v>3.32</v>
      </c>
      <c r="F32" s="1">
        <v>1.607</v>
      </c>
      <c r="G32" s="1">
        <v>1.58</v>
      </c>
      <c r="H32" s="1">
        <v>1.1000000000000001</v>
      </c>
      <c r="I32" s="1">
        <v>0.65</v>
      </c>
      <c r="J32" s="1">
        <v>1.73</v>
      </c>
      <c r="K32" s="1" t="s">
        <v>49</v>
      </c>
      <c r="M32" s="1">
        <v>20</v>
      </c>
      <c r="N32" s="1">
        <v>77.510000000000005</v>
      </c>
      <c r="O32" s="1">
        <v>8.11</v>
      </c>
      <c r="P32" s="1">
        <v>7.8</v>
      </c>
      <c r="Q32" s="1">
        <v>35.9</v>
      </c>
      <c r="R32" s="1" t="s">
        <v>52</v>
      </c>
      <c r="S32" s="1">
        <v>307.27999999999997</v>
      </c>
      <c r="T32" s="1">
        <v>377</v>
      </c>
      <c r="U32" s="1">
        <v>1.82</v>
      </c>
      <c r="V32" s="1">
        <v>9.4</v>
      </c>
      <c r="W32" s="1">
        <v>0.4</v>
      </c>
      <c r="X32" s="1">
        <f t="shared" si="0"/>
        <v>400</v>
      </c>
      <c r="Y32" s="11">
        <v>2.19</v>
      </c>
      <c r="Z32" s="1">
        <v>0.219</v>
      </c>
      <c r="AA32" s="1">
        <v>0</v>
      </c>
      <c r="AB32" s="1">
        <v>6.72</v>
      </c>
      <c r="AC32" s="1" t="s">
        <v>51</v>
      </c>
      <c r="AH32" s="1">
        <v>0</v>
      </c>
      <c r="AI32" s="1">
        <f>-AK38/AA38</f>
        <v>5.3018370645959809E-2</v>
      </c>
      <c r="AJ32" s="1">
        <f t="shared" ref="AJ32" si="6">1-AH32</f>
        <v>1</v>
      </c>
      <c r="AK32" s="1">
        <f t="shared" si="1"/>
        <v>0</v>
      </c>
      <c r="AL32" s="1">
        <v>4.7604566508536998E-2</v>
      </c>
      <c r="AM32">
        <v>5</v>
      </c>
      <c r="AN32">
        <f>IF(ISNUMBER(AJ32),IF(AJ32&gt;=0.05,1,0),"")</f>
        <v>1</v>
      </c>
      <c r="AO32">
        <f>IF(ISNUMBER(AJ32),IF(AJ32&lt;0.005,1,0),"")</f>
        <v>0</v>
      </c>
      <c r="AP32">
        <f>IFERROR(MATCH(0,AN32:AN38,0)-1,7)</f>
        <v>6</v>
      </c>
      <c r="AQ32" s="34">
        <f>IF(AP32&lt;3,"n&lt;3",IFERROR(-SLOPE(AK32:INDEX(AK32:AK38,AP32),AA32:INDEX(AA32:AA38,AP32)),"no fit"))</f>
        <v>4.0482836636878107E-2</v>
      </c>
      <c r="AR32" s="35">
        <f>IF(AP32&lt;3,"",IFERROR(RSQ(AK32:INDEX(AK32:AK38,AP32),AA32:INDEX(AA32:AA38,AP32)),"flat"))</f>
        <v>0.93950154363233052</v>
      </c>
      <c r="AS32" s="36">
        <f>IFERROR(AQ32/AI32,"")</f>
        <v>0.76356244342569302</v>
      </c>
    </row>
    <row r="33" spans="1:45" ht="57" x14ac:dyDescent="0.45">
      <c r="A33" s="1" t="s">
        <v>47</v>
      </c>
      <c r="B33" s="1" t="s">
        <v>48</v>
      </c>
      <c r="C33" s="1">
        <v>40.5</v>
      </c>
      <c r="D33" s="1">
        <v>228.29</v>
      </c>
      <c r="E33" s="1">
        <v>3.32</v>
      </c>
      <c r="F33" s="1">
        <v>1.607</v>
      </c>
      <c r="G33" s="1">
        <v>1.58</v>
      </c>
      <c r="H33" s="1">
        <v>1.1000000000000001</v>
      </c>
      <c r="I33" s="1">
        <v>0.65</v>
      </c>
      <c r="J33" s="1">
        <v>1.73</v>
      </c>
      <c r="K33" s="1" t="s">
        <v>49</v>
      </c>
      <c r="M33" s="1">
        <v>20</v>
      </c>
      <c r="N33" s="1">
        <v>77.510000000000005</v>
      </c>
      <c r="O33" s="1">
        <v>8.11</v>
      </c>
      <c r="P33" s="1">
        <v>7.8</v>
      </c>
      <c r="Q33" s="1">
        <v>35.9</v>
      </c>
      <c r="R33" s="1" t="s">
        <v>52</v>
      </c>
      <c r="S33" s="1">
        <v>307.27999999999997</v>
      </c>
      <c r="T33" s="1">
        <v>377</v>
      </c>
      <c r="U33" s="1">
        <v>1.82</v>
      </c>
      <c r="V33" s="1">
        <v>9.4</v>
      </c>
      <c r="W33" s="1">
        <v>0.4</v>
      </c>
      <c r="X33" s="1">
        <f t="shared" si="0"/>
        <v>400</v>
      </c>
      <c r="Y33" s="11">
        <v>2.19</v>
      </c>
      <c r="Z33" s="1">
        <v>0.219</v>
      </c>
      <c r="AA33" s="1">
        <v>5.1863597469825402</v>
      </c>
      <c r="AB33" s="1">
        <v>6.72</v>
      </c>
      <c r="AC33" s="1" t="s">
        <v>51</v>
      </c>
      <c r="AH33" s="1">
        <v>0.43644777008981495</v>
      </c>
      <c r="AJ33" s="1">
        <f t="shared" si="2"/>
        <v>0.56355222991018505</v>
      </c>
      <c r="AK33" s="1">
        <f t="shared" si="1"/>
        <v>-0.57349526140331519</v>
      </c>
      <c r="AM33">
        <v>5</v>
      </c>
      <c r="AN33">
        <f>IF(ISNUMBER(AJ33),IF(AJ33&gt;=0.05,1,0),"")</f>
        <v>1</v>
      </c>
      <c r="AO33">
        <f>IF(ISNUMBER(AJ33),IF(AJ33&lt;0.005,1,0),"")</f>
        <v>0</v>
      </c>
      <c r="AQ33" s="34"/>
      <c r="AR33" s="35"/>
      <c r="AS33" s="36"/>
    </row>
    <row r="34" spans="1:45" ht="57" x14ac:dyDescent="0.45">
      <c r="A34" s="1" t="s">
        <v>47</v>
      </c>
      <c r="B34" s="1" t="s">
        <v>48</v>
      </c>
      <c r="C34" s="1">
        <v>40.5</v>
      </c>
      <c r="D34" s="1">
        <v>228.29</v>
      </c>
      <c r="E34" s="1">
        <v>3.32</v>
      </c>
      <c r="F34" s="1">
        <v>1.607</v>
      </c>
      <c r="G34" s="1">
        <v>1.58</v>
      </c>
      <c r="H34" s="1">
        <v>1.1000000000000001</v>
      </c>
      <c r="I34" s="1">
        <v>0.65</v>
      </c>
      <c r="J34" s="1">
        <v>1.73</v>
      </c>
      <c r="K34" s="1" t="s">
        <v>49</v>
      </c>
      <c r="M34" s="1">
        <v>20</v>
      </c>
      <c r="N34" s="1">
        <v>77.510000000000005</v>
      </c>
      <c r="O34" s="1">
        <v>8.11</v>
      </c>
      <c r="P34" s="1">
        <v>7.8</v>
      </c>
      <c r="Q34" s="1">
        <v>35.9</v>
      </c>
      <c r="R34" s="1" t="s">
        <v>52</v>
      </c>
      <c r="S34" s="1">
        <v>307.27999999999997</v>
      </c>
      <c r="T34" s="1">
        <v>377</v>
      </c>
      <c r="U34" s="1">
        <v>1.82</v>
      </c>
      <c r="V34" s="1">
        <v>9.4</v>
      </c>
      <c r="W34" s="1">
        <v>0.4</v>
      </c>
      <c r="X34" s="1">
        <f t="shared" si="0"/>
        <v>400</v>
      </c>
      <c r="Y34" s="11">
        <v>2.19</v>
      </c>
      <c r="Z34" s="1">
        <v>0.219</v>
      </c>
      <c r="AA34" s="1">
        <v>9.7667675825068301</v>
      </c>
      <c r="AB34" s="1">
        <v>6.72</v>
      </c>
      <c r="AC34" s="1" t="s">
        <v>51</v>
      </c>
      <c r="AH34" s="1">
        <v>0.56190231554435999</v>
      </c>
      <c r="AJ34" s="1">
        <f t="shared" si="2"/>
        <v>0.43809768445564001</v>
      </c>
      <c r="AK34" s="1">
        <f t="shared" si="1"/>
        <v>-0.82531336960049317</v>
      </c>
      <c r="AM34">
        <v>5</v>
      </c>
      <c r="AN34">
        <f>IF(ISNUMBER(AJ34),IF(AJ34&gt;=0.05,1,0),"")</f>
        <v>1</v>
      </c>
      <c r="AO34">
        <f>IF(ISNUMBER(AJ34),IF(AJ34&lt;0.005,1,0),"")</f>
        <v>0</v>
      </c>
      <c r="AQ34" s="34"/>
      <c r="AR34" s="35"/>
      <c r="AS34" s="36"/>
    </row>
    <row r="35" spans="1:45" ht="57" x14ac:dyDescent="0.45">
      <c r="A35" s="1" t="s">
        <v>47</v>
      </c>
      <c r="B35" s="1" t="s">
        <v>48</v>
      </c>
      <c r="C35" s="1">
        <v>40.5</v>
      </c>
      <c r="D35" s="1">
        <v>228.29</v>
      </c>
      <c r="E35" s="1">
        <v>3.32</v>
      </c>
      <c r="F35" s="1">
        <v>1.607</v>
      </c>
      <c r="G35" s="1">
        <v>1.58</v>
      </c>
      <c r="H35" s="1">
        <v>1.1000000000000001</v>
      </c>
      <c r="I35" s="1">
        <v>0.65</v>
      </c>
      <c r="J35" s="1">
        <v>1.73</v>
      </c>
      <c r="K35" s="1" t="s">
        <v>49</v>
      </c>
      <c r="M35" s="1">
        <v>20</v>
      </c>
      <c r="N35" s="1">
        <v>77.510000000000005</v>
      </c>
      <c r="O35" s="1">
        <v>8.11</v>
      </c>
      <c r="P35" s="1">
        <v>7.8</v>
      </c>
      <c r="Q35" s="1">
        <v>35.9</v>
      </c>
      <c r="R35" s="1" t="s">
        <v>52</v>
      </c>
      <c r="S35" s="1">
        <v>307.27999999999997</v>
      </c>
      <c r="T35" s="1">
        <v>377</v>
      </c>
      <c r="U35" s="1">
        <v>1.82</v>
      </c>
      <c r="V35" s="1">
        <v>9.4</v>
      </c>
      <c r="W35" s="1">
        <v>0.4</v>
      </c>
      <c r="X35" s="1">
        <f t="shared" si="0"/>
        <v>400</v>
      </c>
      <c r="Y35" s="11">
        <v>2.19</v>
      </c>
      <c r="Z35" s="1">
        <v>0.219</v>
      </c>
      <c r="AA35" s="1">
        <v>20.160769978504199</v>
      </c>
      <c r="AB35" s="1">
        <v>6.72</v>
      </c>
      <c r="AC35" s="1" t="s">
        <v>51</v>
      </c>
      <c r="AH35" s="1">
        <v>0.71523564887769298</v>
      </c>
      <c r="AJ35" s="1">
        <f t="shared" si="2"/>
        <v>0.28476435112230702</v>
      </c>
      <c r="AK35" s="1">
        <f t="shared" si="1"/>
        <v>-1.2560932789000505</v>
      </c>
      <c r="AM35">
        <v>5</v>
      </c>
      <c r="AN35">
        <f>IF(ISNUMBER(AJ35),IF(AJ35&gt;=0.05,1,0),"")</f>
        <v>1</v>
      </c>
      <c r="AO35">
        <f>IF(ISNUMBER(AJ35),IF(AJ35&lt;0.005,1,0),"")</f>
        <v>0</v>
      </c>
      <c r="AQ35" s="34"/>
      <c r="AR35" s="35"/>
      <c r="AS35" s="36"/>
    </row>
    <row r="36" spans="1:45" ht="57" x14ac:dyDescent="0.45">
      <c r="A36" s="1" t="s">
        <v>47</v>
      </c>
      <c r="B36" s="1" t="s">
        <v>48</v>
      </c>
      <c r="C36" s="1">
        <v>40.5</v>
      </c>
      <c r="D36" s="1">
        <v>228.29</v>
      </c>
      <c r="E36" s="1">
        <v>3.32</v>
      </c>
      <c r="F36" s="1">
        <v>1.607</v>
      </c>
      <c r="G36" s="1">
        <v>1.58</v>
      </c>
      <c r="H36" s="1">
        <v>1.1000000000000001</v>
      </c>
      <c r="I36" s="1">
        <v>0.65</v>
      </c>
      <c r="J36" s="1">
        <v>1.73</v>
      </c>
      <c r="K36" s="1" t="s">
        <v>49</v>
      </c>
      <c r="M36" s="1">
        <v>20</v>
      </c>
      <c r="N36" s="1">
        <v>77.510000000000005</v>
      </c>
      <c r="O36" s="1">
        <v>8.11</v>
      </c>
      <c r="P36" s="1">
        <v>7.8</v>
      </c>
      <c r="Q36" s="1">
        <v>35.9</v>
      </c>
      <c r="R36" s="1" t="s">
        <v>52</v>
      </c>
      <c r="S36" s="1">
        <v>307.27999999999997</v>
      </c>
      <c r="T36" s="1">
        <v>377</v>
      </c>
      <c r="U36" s="1">
        <v>1.82</v>
      </c>
      <c r="V36" s="1">
        <v>9.4</v>
      </c>
      <c r="W36" s="1">
        <v>0.4</v>
      </c>
      <c r="X36" s="1">
        <f t="shared" si="0"/>
        <v>400</v>
      </c>
      <c r="Y36" s="11">
        <v>2.19</v>
      </c>
      <c r="Z36" s="1">
        <v>0.219</v>
      </c>
      <c r="AA36" s="1">
        <v>30.026263778095</v>
      </c>
      <c r="AB36" s="1">
        <v>6.72</v>
      </c>
      <c r="AC36" s="1" t="s">
        <v>51</v>
      </c>
      <c r="AH36" s="1">
        <v>0.78493261857466301</v>
      </c>
      <c r="AJ36" s="1">
        <f t="shared" si="2"/>
        <v>0.21506738142533699</v>
      </c>
      <c r="AK36" s="1">
        <f t="shared" si="1"/>
        <v>-1.5368038979763041</v>
      </c>
      <c r="AM36">
        <v>5</v>
      </c>
      <c r="AN36">
        <f>IF(ISNUMBER(AJ36),IF(AJ36&gt;=0.05,1,0),"")</f>
        <v>1</v>
      </c>
      <c r="AO36">
        <f>IF(ISNUMBER(AJ36),IF(AJ36&lt;0.005,1,0),"")</f>
        <v>0</v>
      </c>
      <c r="AQ36" s="34"/>
      <c r="AR36" s="35"/>
      <c r="AS36" s="36"/>
    </row>
    <row r="37" spans="1:45" ht="57" x14ac:dyDescent="0.45">
      <c r="A37" s="1" t="s">
        <v>47</v>
      </c>
      <c r="B37" s="1" t="s">
        <v>48</v>
      </c>
      <c r="C37" s="1">
        <v>40.5</v>
      </c>
      <c r="D37" s="1">
        <v>228.29</v>
      </c>
      <c r="E37" s="1">
        <v>3.32</v>
      </c>
      <c r="F37" s="1">
        <v>1.607</v>
      </c>
      <c r="G37" s="1">
        <v>1.58</v>
      </c>
      <c r="H37" s="1">
        <v>1.1000000000000001</v>
      </c>
      <c r="I37" s="1">
        <v>0.65</v>
      </c>
      <c r="J37" s="1">
        <v>1.73</v>
      </c>
      <c r="K37" s="1" t="s">
        <v>49</v>
      </c>
      <c r="M37" s="1">
        <v>20</v>
      </c>
      <c r="N37" s="1">
        <v>77.510000000000005</v>
      </c>
      <c r="O37" s="1">
        <v>8.11</v>
      </c>
      <c r="P37" s="1">
        <v>7.8</v>
      </c>
      <c r="Q37" s="1">
        <v>35.9</v>
      </c>
      <c r="R37" s="1" t="s">
        <v>52</v>
      </c>
      <c r="S37" s="1">
        <v>307.27999999999997</v>
      </c>
      <c r="T37" s="1">
        <v>377</v>
      </c>
      <c r="U37" s="1">
        <v>1.82</v>
      </c>
      <c r="V37" s="1">
        <v>9.4</v>
      </c>
      <c r="W37" s="1">
        <v>0.4</v>
      </c>
      <c r="X37" s="1">
        <f t="shared" si="0"/>
        <v>400</v>
      </c>
      <c r="Y37" s="11">
        <v>2.19</v>
      </c>
      <c r="Z37" s="1">
        <v>0.219</v>
      </c>
      <c r="AA37" s="1">
        <v>45.176843541752199</v>
      </c>
      <c r="AB37" s="1">
        <v>6.72</v>
      </c>
      <c r="AC37" s="1" t="s">
        <v>51</v>
      </c>
      <c r="AH37" s="1">
        <v>0.86159928524133</v>
      </c>
      <c r="AJ37" s="1">
        <f t="shared" si="2"/>
        <v>0.13840071475867</v>
      </c>
      <c r="AK37" s="1">
        <f t="shared" si="1"/>
        <v>-1.9776020713706464</v>
      </c>
      <c r="AM37">
        <v>5</v>
      </c>
      <c r="AN37">
        <f>IF(ISNUMBER(AJ37),IF(AJ37&gt;=0.05,1,0),"")</f>
        <v>1</v>
      </c>
      <c r="AO37">
        <f>IF(ISNUMBER(AJ37),IF(AJ37&lt;0.005,1,0),"")</f>
        <v>0</v>
      </c>
      <c r="AQ37" s="34"/>
      <c r="AR37" s="35"/>
      <c r="AS37" s="36"/>
    </row>
    <row r="38" spans="1:45" ht="57" x14ac:dyDescent="0.45">
      <c r="A38" s="1" t="s">
        <v>47</v>
      </c>
      <c r="B38" s="1" t="s">
        <v>48</v>
      </c>
      <c r="C38" s="1">
        <v>40.5</v>
      </c>
      <c r="D38" s="1">
        <v>228.29</v>
      </c>
      <c r="E38" s="1">
        <v>3.32</v>
      </c>
      <c r="F38" s="1">
        <v>1.607</v>
      </c>
      <c r="G38" s="1">
        <v>1.58</v>
      </c>
      <c r="H38" s="1">
        <v>1.1000000000000001</v>
      </c>
      <c r="I38" s="1">
        <v>0.65</v>
      </c>
      <c r="J38" s="1">
        <v>1.73</v>
      </c>
      <c r="K38" s="1" t="s">
        <v>49</v>
      </c>
      <c r="M38" s="1">
        <v>20</v>
      </c>
      <c r="N38" s="1">
        <v>77.510000000000005</v>
      </c>
      <c r="O38" s="1">
        <v>8.11</v>
      </c>
      <c r="P38" s="1">
        <v>7.8</v>
      </c>
      <c r="Q38" s="1">
        <v>35.9</v>
      </c>
      <c r="R38" s="1" t="s">
        <v>52</v>
      </c>
      <c r="S38" s="1">
        <v>307.27999999999997</v>
      </c>
      <c r="T38" s="1">
        <v>377</v>
      </c>
      <c r="U38" s="1">
        <v>1.82</v>
      </c>
      <c r="V38" s="1">
        <v>9.4</v>
      </c>
      <c r="W38" s="1">
        <v>0.4</v>
      </c>
      <c r="X38" s="1">
        <f t="shared" si="0"/>
        <v>400</v>
      </c>
      <c r="Y38" s="11">
        <v>2.19</v>
      </c>
      <c r="Z38" s="1">
        <v>0.219</v>
      </c>
      <c r="AA38" s="1">
        <v>60.327423305409503</v>
      </c>
      <c r="AB38" s="1">
        <v>6.72</v>
      </c>
      <c r="AC38" s="1" t="s">
        <v>51</v>
      </c>
      <c r="AH38" s="1">
        <v>0.95917504281708676</v>
      </c>
      <c r="AJ38" s="1">
        <f t="shared" si="2"/>
        <v>4.0824957182913235E-2</v>
      </c>
      <c r="AK38" s="1">
        <f t="shared" si="1"/>
        <v>-3.1984616889219151</v>
      </c>
      <c r="AM38">
        <v>5</v>
      </c>
      <c r="AN38">
        <f>IF(ISNUMBER(AJ38),IF(AJ38&gt;=0.05,1,0),"")</f>
        <v>0</v>
      </c>
      <c r="AO38">
        <f>IF(ISNUMBER(AJ38),IF(AJ38&lt;0.005,1,0),"")</f>
        <v>0</v>
      </c>
      <c r="AQ38" s="34"/>
      <c r="AR38" s="35"/>
      <c r="AS38" s="36"/>
    </row>
    <row r="39" spans="1:45" ht="57" x14ac:dyDescent="0.45">
      <c r="A39" s="1" t="s">
        <v>55</v>
      </c>
      <c r="B39" s="1" t="s">
        <v>56</v>
      </c>
      <c r="C39" s="1">
        <v>107</v>
      </c>
      <c r="D39" s="1">
        <v>253.28</v>
      </c>
      <c r="E39" s="1">
        <v>0.9</v>
      </c>
      <c r="F39" s="1">
        <v>1.5549999999999999</v>
      </c>
      <c r="G39" s="1">
        <v>1.9550000000000001</v>
      </c>
      <c r="H39" s="1">
        <v>0.88</v>
      </c>
      <c r="I39" s="1">
        <v>0.95</v>
      </c>
      <c r="J39" s="1">
        <v>1.59</v>
      </c>
      <c r="K39" s="1" t="s">
        <v>57</v>
      </c>
      <c r="M39" s="1">
        <v>25</v>
      </c>
      <c r="Q39" s="1">
        <v>8.8000000000000007</v>
      </c>
      <c r="R39" s="1" t="s">
        <v>58</v>
      </c>
      <c r="S39" s="1">
        <v>307.27999999999997</v>
      </c>
      <c r="T39" s="1">
        <v>377</v>
      </c>
      <c r="U39" s="1">
        <v>1.82</v>
      </c>
      <c r="V39" s="1">
        <v>9.4</v>
      </c>
      <c r="W39" s="1">
        <v>2.5000000000000001E-2</v>
      </c>
      <c r="X39" s="1">
        <f t="shared" si="0"/>
        <v>25</v>
      </c>
      <c r="Y39" s="1">
        <v>0.1</v>
      </c>
      <c r="Z39" s="1">
        <v>5.0000000000000001E-3</v>
      </c>
      <c r="AA39" s="1">
        <v>0</v>
      </c>
      <c r="AB39" s="1">
        <v>11</v>
      </c>
      <c r="AC39" s="1">
        <v>25</v>
      </c>
      <c r="AH39" s="1">
        <v>0</v>
      </c>
      <c r="AI39" s="1">
        <f>-AK46/AA46</f>
        <v>0.19238212099729976</v>
      </c>
      <c r="AJ39" s="1">
        <f t="shared" ref="AJ39" si="7">1-AH39</f>
        <v>1</v>
      </c>
      <c r="AK39" s="1">
        <f t="shared" si="1"/>
        <v>0</v>
      </c>
      <c r="AL39" s="1">
        <v>0.185403973419493</v>
      </c>
      <c r="AM39">
        <v>6</v>
      </c>
      <c r="AN39">
        <f>IF(ISNUMBER(AJ39),IF(AJ39&gt;=0.05,1,0),"")</f>
        <v>1</v>
      </c>
      <c r="AO39">
        <f>IF(ISNUMBER(AJ39),IF(AJ39&lt;0.005,1,0),"")</f>
        <v>0</v>
      </c>
      <c r="AP39">
        <f>IFERROR(MATCH(0,AN39:AN46,0)-1,8)</f>
        <v>4</v>
      </c>
      <c r="AQ39" s="34">
        <f>IF(AP39&lt;3,"n&lt;3",IFERROR(-SLOPE(AK39:INDEX(AK39:AK46,AP39),AA39:INDEX(AA39:AA46,AP39)),"no fit"))</f>
        <v>0.33662374623832686</v>
      </c>
      <c r="AR39" s="35">
        <f>IF(AP39&lt;3,"",IFERROR(RSQ(AK39:INDEX(AK39:AK46,AP39),AA39:INDEX(AA39:AA46,AP39)),"flat"))</f>
        <v>0.99954284457426812</v>
      </c>
      <c r="AS39" s="36">
        <f>IFERROR(AQ39/AI39,"")</f>
        <v>1.7497662698242715</v>
      </c>
    </row>
    <row r="40" spans="1:45" ht="57" x14ac:dyDescent="0.45">
      <c r="A40" s="1" t="s">
        <v>55</v>
      </c>
      <c r="B40" s="1" t="s">
        <v>56</v>
      </c>
      <c r="C40" s="1">
        <v>107</v>
      </c>
      <c r="D40" s="1">
        <v>253.28</v>
      </c>
      <c r="E40" s="1">
        <v>0.9</v>
      </c>
      <c r="F40" s="1">
        <v>1.5549999999999999</v>
      </c>
      <c r="G40" s="1">
        <v>1.9550000000000001</v>
      </c>
      <c r="H40" s="1">
        <v>0.88</v>
      </c>
      <c r="I40" s="1">
        <v>0.95</v>
      </c>
      <c r="J40" s="1">
        <v>1.59</v>
      </c>
      <c r="K40" s="1" t="s">
        <v>57</v>
      </c>
      <c r="M40" s="1">
        <v>25</v>
      </c>
      <c r="Q40" s="1">
        <v>8.8000000000000007</v>
      </c>
      <c r="R40" s="1" t="s">
        <v>58</v>
      </c>
      <c r="S40" s="1">
        <v>307.27999999999997</v>
      </c>
      <c r="T40" s="1">
        <v>377</v>
      </c>
      <c r="U40" s="1">
        <v>1.82</v>
      </c>
      <c r="V40" s="1">
        <v>9.4</v>
      </c>
      <c r="W40" s="1">
        <v>2.5000000000000001E-2</v>
      </c>
      <c r="X40" s="1">
        <f t="shared" si="0"/>
        <v>25</v>
      </c>
      <c r="Y40" s="1">
        <v>0.1</v>
      </c>
      <c r="Z40" s="1">
        <v>5.0000000000000001E-3</v>
      </c>
      <c r="AA40" s="1">
        <v>1.1728232873467901</v>
      </c>
      <c r="AB40" s="1">
        <v>11</v>
      </c>
      <c r="AC40" s="1">
        <v>25</v>
      </c>
      <c r="AH40" s="1">
        <v>0.34769230799999995</v>
      </c>
      <c r="AJ40" s="1">
        <f t="shared" si="2"/>
        <v>0.65230769200000005</v>
      </c>
      <c r="AK40" s="1">
        <f t="shared" si="1"/>
        <v>-0.42723890812942306</v>
      </c>
      <c r="AM40">
        <v>6</v>
      </c>
      <c r="AN40">
        <f>IF(ISNUMBER(AJ40),IF(AJ40&gt;=0.05,1,0),"")</f>
        <v>1</v>
      </c>
      <c r="AO40">
        <f>IF(ISNUMBER(AJ40),IF(AJ40&lt;0.005,1,0),"")</f>
        <v>0</v>
      </c>
      <c r="AQ40" s="34"/>
      <c r="AR40" s="35"/>
      <c r="AS40" s="36"/>
    </row>
    <row r="41" spans="1:45" ht="57" x14ac:dyDescent="0.45">
      <c r="A41" s="1" t="s">
        <v>55</v>
      </c>
      <c r="B41" s="1" t="s">
        <v>56</v>
      </c>
      <c r="C41" s="1">
        <v>107</v>
      </c>
      <c r="D41" s="1">
        <v>253.28</v>
      </c>
      <c r="E41" s="1">
        <v>0.9</v>
      </c>
      <c r="F41" s="1">
        <v>1.5549999999999999</v>
      </c>
      <c r="G41" s="1">
        <v>1.9550000000000001</v>
      </c>
      <c r="H41" s="1">
        <v>0.88</v>
      </c>
      <c r="I41" s="1">
        <v>0.95</v>
      </c>
      <c r="J41" s="1">
        <v>1.59</v>
      </c>
      <c r="K41" s="1" t="s">
        <v>57</v>
      </c>
      <c r="M41" s="1">
        <v>25</v>
      </c>
      <c r="Q41" s="1">
        <v>8.8000000000000007</v>
      </c>
      <c r="R41" s="1" t="s">
        <v>58</v>
      </c>
      <c r="S41" s="1">
        <v>307.27999999999997</v>
      </c>
      <c r="T41" s="1">
        <v>377</v>
      </c>
      <c r="U41" s="1">
        <v>1.82</v>
      </c>
      <c r="V41" s="1">
        <v>9.4</v>
      </c>
      <c r="W41" s="1">
        <v>2.5000000000000001E-2</v>
      </c>
      <c r="X41" s="1">
        <f t="shared" si="0"/>
        <v>25</v>
      </c>
      <c r="Y41" s="1">
        <v>0.1</v>
      </c>
      <c r="Z41" s="1">
        <v>5.0000000000000001E-3</v>
      </c>
      <c r="AA41" s="1">
        <v>3.1989756646337799</v>
      </c>
      <c r="AB41" s="1">
        <v>11</v>
      </c>
      <c r="AC41" s="1">
        <v>25</v>
      </c>
      <c r="AH41" s="1">
        <v>0.65846153800000007</v>
      </c>
      <c r="AJ41" s="1">
        <f t="shared" si="2"/>
        <v>0.34153846199999993</v>
      </c>
      <c r="AK41" s="1">
        <f t="shared" si="1"/>
        <v>-1.0742949796660521</v>
      </c>
      <c r="AM41">
        <v>6</v>
      </c>
      <c r="AN41">
        <f>IF(ISNUMBER(AJ41),IF(AJ41&gt;=0.05,1,0),"")</f>
        <v>1</v>
      </c>
      <c r="AO41">
        <f>IF(ISNUMBER(AJ41),IF(AJ41&lt;0.005,1,0),"")</f>
        <v>0</v>
      </c>
      <c r="AQ41" s="34"/>
      <c r="AR41" s="35"/>
      <c r="AS41" s="36"/>
    </row>
    <row r="42" spans="1:45" ht="57" x14ac:dyDescent="0.45">
      <c r="A42" s="1" t="s">
        <v>55</v>
      </c>
      <c r="B42" s="1" t="s">
        <v>56</v>
      </c>
      <c r="C42" s="1">
        <v>107</v>
      </c>
      <c r="D42" s="1">
        <v>253.28</v>
      </c>
      <c r="E42" s="1">
        <v>0.9</v>
      </c>
      <c r="F42" s="1">
        <v>1.5549999999999999</v>
      </c>
      <c r="G42" s="1">
        <v>1.9550000000000001</v>
      </c>
      <c r="H42" s="1">
        <v>0.88</v>
      </c>
      <c r="I42" s="1">
        <v>0.95</v>
      </c>
      <c r="J42" s="1">
        <v>1.59</v>
      </c>
      <c r="K42" s="1" t="s">
        <v>57</v>
      </c>
      <c r="M42" s="1">
        <v>25</v>
      </c>
      <c r="Q42" s="1">
        <v>8.8000000000000007</v>
      </c>
      <c r="R42" s="1" t="s">
        <v>58</v>
      </c>
      <c r="S42" s="1">
        <v>307.27999999999997</v>
      </c>
      <c r="T42" s="1">
        <v>377</v>
      </c>
      <c r="U42" s="1">
        <v>1.82</v>
      </c>
      <c r="V42" s="1">
        <v>9.4</v>
      </c>
      <c r="W42" s="1">
        <v>2.5000000000000001E-2</v>
      </c>
      <c r="X42" s="1">
        <f t="shared" si="0"/>
        <v>25</v>
      </c>
      <c r="Y42" s="1">
        <v>0.1</v>
      </c>
      <c r="Z42" s="1">
        <v>5.0000000000000001E-3</v>
      </c>
      <c r="AA42" s="1">
        <v>5.0750426806402604</v>
      </c>
      <c r="AB42" s="1">
        <v>11</v>
      </c>
      <c r="AC42" s="1">
        <v>25</v>
      </c>
      <c r="AH42" s="1">
        <v>0.82153846200000002</v>
      </c>
      <c r="AJ42" s="1">
        <f t="shared" si="2"/>
        <v>0.17846153799999998</v>
      </c>
      <c r="AK42" s="1">
        <f t="shared" si="1"/>
        <v>-1.7233821743695252</v>
      </c>
      <c r="AM42">
        <v>6</v>
      </c>
      <c r="AN42">
        <f>IF(ISNUMBER(AJ42),IF(AJ42&gt;=0.05,1,0),"")</f>
        <v>1</v>
      </c>
      <c r="AO42">
        <f>IF(ISNUMBER(AJ42),IF(AJ42&lt;0.005,1,0),"")</f>
        <v>0</v>
      </c>
      <c r="AQ42" s="34"/>
      <c r="AR42" s="35"/>
      <c r="AS42" s="36"/>
    </row>
    <row r="43" spans="1:45" ht="57" x14ac:dyDescent="0.45">
      <c r="A43" s="1" t="s">
        <v>55</v>
      </c>
      <c r="B43" s="1" t="s">
        <v>56</v>
      </c>
      <c r="C43" s="1">
        <v>107</v>
      </c>
      <c r="D43" s="1">
        <v>253.28</v>
      </c>
      <c r="E43" s="1">
        <v>0.9</v>
      </c>
      <c r="F43" s="1">
        <v>1.5549999999999999</v>
      </c>
      <c r="G43" s="1">
        <v>1.9550000000000001</v>
      </c>
      <c r="H43" s="1">
        <v>0.88</v>
      </c>
      <c r="I43" s="1">
        <v>0.95</v>
      </c>
      <c r="J43" s="1">
        <v>1.59</v>
      </c>
      <c r="K43" s="1" t="s">
        <v>57</v>
      </c>
      <c r="M43" s="1">
        <v>25</v>
      </c>
      <c r="Q43" s="1">
        <v>8.8000000000000007</v>
      </c>
      <c r="R43" s="1" t="s">
        <v>58</v>
      </c>
      <c r="S43" s="1">
        <v>307.27999999999997</v>
      </c>
      <c r="T43" s="1">
        <v>377</v>
      </c>
      <c r="U43" s="1">
        <v>1.82</v>
      </c>
      <c r="V43" s="1">
        <v>9.4</v>
      </c>
      <c r="W43" s="1">
        <v>2.5000000000000001E-2</v>
      </c>
      <c r="X43" s="1">
        <f t="shared" si="0"/>
        <v>25</v>
      </c>
      <c r="Y43" s="1">
        <v>0.1</v>
      </c>
      <c r="Z43" s="1">
        <v>5.0000000000000001E-3</v>
      </c>
      <c r="AA43" s="1">
        <v>10.027859602897299</v>
      </c>
      <c r="AB43" s="1">
        <v>11</v>
      </c>
      <c r="AC43" s="1">
        <v>25</v>
      </c>
      <c r="AH43" s="1">
        <v>0.96615384599999998</v>
      </c>
      <c r="AJ43" s="1">
        <f t="shared" si="2"/>
        <v>3.3846154000000017E-2</v>
      </c>
      <c r="AK43" s="1">
        <f t="shared" si="1"/>
        <v>-3.385929904985912</v>
      </c>
      <c r="AM43">
        <v>6</v>
      </c>
      <c r="AN43">
        <f>IF(ISNUMBER(AJ43),IF(AJ43&gt;=0.05,1,0),"")</f>
        <v>0</v>
      </c>
      <c r="AO43">
        <f>IF(ISNUMBER(AJ43),IF(AJ43&lt;0.005,1,0),"")</f>
        <v>0</v>
      </c>
      <c r="AQ43" s="34"/>
      <c r="AR43" s="35"/>
      <c r="AS43" s="36"/>
    </row>
    <row r="44" spans="1:45" ht="57" x14ac:dyDescent="0.45">
      <c r="A44" s="1" t="s">
        <v>55</v>
      </c>
      <c r="B44" s="1" t="s">
        <v>56</v>
      </c>
      <c r="C44" s="1">
        <v>107</v>
      </c>
      <c r="D44" s="1">
        <v>253.28</v>
      </c>
      <c r="E44" s="1">
        <v>0.9</v>
      </c>
      <c r="F44" s="1">
        <v>1.5549999999999999</v>
      </c>
      <c r="G44" s="1">
        <v>1.9550000000000001</v>
      </c>
      <c r="H44" s="1">
        <v>0.88</v>
      </c>
      <c r="I44" s="1">
        <v>0.95</v>
      </c>
      <c r="J44" s="1">
        <v>1.59</v>
      </c>
      <c r="K44" s="1" t="s">
        <v>57</v>
      </c>
      <c r="M44" s="1">
        <v>25</v>
      </c>
      <c r="Q44" s="1">
        <v>8.8000000000000007</v>
      </c>
      <c r="R44" s="1" t="s">
        <v>58</v>
      </c>
      <c r="S44" s="1">
        <v>307.27999999999997</v>
      </c>
      <c r="T44" s="1">
        <v>377</v>
      </c>
      <c r="U44" s="1">
        <v>1.82</v>
      </c>
      <c r="V44" s="1">
        <v>9.4</v>
      </c>
      <c r="W44" s="1">
        <v>2.5000000000000001E-2</v>
      </c>
      <c r="X44" s="1">
        <f t="shared" si="0"/>
        <v>25</v>
      </c>
      <c r="Y44" s="1">
        <v>0.1</v>
      </c>
      <c r="Z44" s="1">
        <v>5.0000000000000001E-3</v>
      </c>
      <c r="AA44" s="1">
        <v>15.1307618864349</v>
      </c>
      <c r="AB44" s="1">
        <v>11</v>
      </c>
      <c r="AC44" s="1">
        <v>25</v>
      </c>
      <c r="AH44" s="1">
        <v>0.99692307700000005</v>
      </c>
      <c r="AJ44" s="1">
        <f t="shared" si="2"/>
        <v>3.0769229999999537E-3</v>
      </c>
      <c r="AK44" s="1">
        <f t="shared" si="1"/>
        <v>-5.7838252073297527</v>
      </c>
      <c r="AM44">
        <v>6</v>
      </c>
      <c r="AN44">
        <f>IF(ISNUMBER(AJ44),IF(AJ44&gt;=0.05,1,0),"")</f>
        <v>0</v>
      </c>
      <c r="AO44">
        <f>IF(ISNUMBER(AJ44),IF(AJ44&lt;0.005,1,0),"")</f>
        <v>1</v>
      </c>
      <c r="AQ44" s="34"/>
      <c r="AR44" s="35"/>
      <c r="AS44" s="36"/>
    </row>
    <row r="45" spans="1:45" ht="57" x14ac:dyDescent="0.45">
      <c r="A45" s="1" t="s">
        <v>55</v>
      </c>
      <c r="B45" s="1" t="s">
        <v>56</v>
      </c>
      <c r="C45" s="1">
        <v>107</v>
      </c>
      <c r="D45" s="1">
        <v>253.28</v>
      </c>
      <c r="E45" s="1">
        <v>0.9</v>
      </c>
      <c r="F45" s="1">
        <v>1.5549999999999999</v>
      </c>
      <c r="G45" s="1">
        <v>1.9550000000000001</v>
      </c>
      <c r="H45" s="1">
        <v>0.88</v>
      </c>
      <c r="I45" s="1">
        <v>0.95</v>
      </c>
      <c r="J45" s="1">
        <v>1.59</v>
      </c>
      <c r="K45" s="1" t="s">
        <v>57</v>
      </c>
      <c r="M45" s="1">
        <v>25</v>
      </c>
      <c r="Q45" s="1">
        <v>8.8000000000000007</v>
      </c>
      <c r="R45" s="1" t="s">
        <v>58</v>
      </c>
      <c r="S45" s="1">
        <v>307.27999999999997</v>
      </c>
      <c r="T45" s="1">
        <v>377</v>
      </c>
      <c r="U45" s="1">
        <v>1.82</v>
      </c>
      <c r="V45" s="1">
        <v>9.4</v>
      </c>
      <c r="W45" s="1">
        <v>2.5000000000000001E-2</v>
      </c>
      <c r="X45" s="1">
        <f t="shared" si="0"/>
        <v>25</v>
      </c>
      <c r="Y45" s="1">
        <v>0.1</v>
      </c>
      <c r="Z45" s="1">
        <v>5.0000000000000001E-3</v>
      </c>
      <c r="AA45" s="1">
        <v>20.083578808692</v>
      </c>
      <c r="AB45" s="1">
        <v>11</v>
      </c>
      <c r="AC45" s="1">
        <v>25</v>
      </c>
      <c r="AH45" s="1">
        <v>0.99692307700000005</v>
      </c>
      <c r="AJ45" s="1">
        <f t="shared" si="2"/>
        <v>3.0769229999999537E-3</v>
      </c>
      <c r="AK45" s="1">
        <f t="shared" si="1"/>
        <v>-5.7838252073297527</v>
      </c>
      <c r="AM45">
        <v>6</v>
      </c>
      <c r="AN45">
        <f>IF(ISNUMBER(AJ45),IF(AJ45&gt;=0.05,1,0),"")</f>
        <v>0</v>
      </c>
      <c r="AO45">
        <f>IF(ISNUMBER(AJ45),IF(AJ45&lt;0.005,1,0),"")</f>
        <v>1</v>
      </c>
      <c r="AQ45" s="34"/>
      <c r="AR45" s="35"/>
      <c r="AS45" s="36"/>
    </row>
    <row r="46" spans="1:45" ht="57" x14ac:dyDescent="0.45">
      <c r="A46" s="1" t="s">
        <v>55</v>
      </c>
      <c r="B46" s="1" t="s">
        <v>56</v>
      </c>
      <c r="C46" s="1">
        <v>107</v>
      </c>
      <c r="D46" s="1">
        <v>253.28</v>
      </c>
      <c r="E46" s="1">
        <v>0.9</v>
      </c>
      <c r="F46" s="1">
        <v>1.5549999999999999</v>
      </c>
      <c r="G46" s="1">
        <v>1.9550000000000001</v>
      </c>
      <c r="H46" s="1">
        <v>0.88</v>
      </c>
      <c r="I46" s="1">
        <v>0.95</v>
      </c>
      <c r="J46" s="1">
        <v>1.59</v>
      </c>
      <c r="K46" s="1" t="s">
        <v>57</v>
      </c>
      <c r="M46" s="1">
        <v>25</v>
      </c>
      <c r="Q46" s="1">
        <v>8.8000000000000007</v>
      </c>
      <c r="R46" s="1" t="s">
        <v>58</v>
      </c>
      <c r="S46" s="1">
        <v>307.27999999999997</v>
      </c>
      <c r="T46" s="1">
        <v>377</v>
      </c>
      <c r="U46" s="1">
        <v>1.82</v>
      </c>
      <c r="V46" s="1">
        <v>9.4</v>
      </c>
      <c r="W46" s="1">
        <v>2.5000000000000001E-2</v>
      </c>
      <c r="X46" s="1">
        <f t="shared" si="0"/>
        <v>25</v>
      </c>
      <c r="Y46" s="1">
        <v>0.1</v>
      </c>
      <c r="Z46" s="1">
        <v>5.0000000000000001E-3</v>
      </c>
      <c r="AA46" s="1">
        <v>30.0642553338464</v>
      </c>
      <c r="AB46" s="1">
        <v>11</v>
      </c>
      <c r="AC46" s="1">
        <v>25</v>
      </c>
      <c r="AH46" s="1">
        <v>0.99692307700000005</v>
      </c>
      <c r="AJ46" s="1">
        <f t="shared" si="2"/>
        <v>3.0769229999999537E-3</v>
      </c>
      <c r="AK46" s="1">
        <f t="shared" si="1"/>
        <v>-5.7838252073297527</v>
      </c>
      <c r="AM46">
        <v>6</v>
      </c>
      <c r="AN46">
        <f>IF(ISNUMBER(AJ46),IF(AJ46&gt;=0.05,1,0),"")</f>
        <v>0</v>
      </c>
      <c r="AO46">
        <f>IF(ISNUMBER(AJ46),IF(AJ46&lt;0.005,1,0),"")</f>
        <v>1</v>
      </c>
      <c r="AQ46" s="34"/>
      <c r="AR46" s="35"/>
      <c r="AS46" s="36"/>
    </row>
    <row r="47" spans="1:45" ht="57" x14ac:dyDescent="0.45">
      <c r="A47" s="1" t="s">
        <v>55</v>
      </c>
      <c r="B47" s="1" t="s">
        <v>56</v>
      </c>
      <c r="C47" s="1">
        <v>107</v>
      </c>
      <c r="D47" s="1">
        <v>253.28</v>
      </c>
      <c r="E47" s="1">
        <v>0.9</v>
      </c>
      <c r="F47" s="1">
        <v>1.5549999999999999</v>
      </c>
      <c r="G47" s="1">
        <v>1.9550000000000001</v>
      </c>
      <c r="H47" s="1">
        <v>0.88</v>
      </c>
      <c r="I47" s="1">
        <v>0.95</v>
      </c>
      <c r="J47" s="1">
        <v>1.59</v>
      </c>
      <c r="K47" s="1" t="s">
        <v>50</v>
      </c>
      <c r="M47" s="1">
        <v>25</v>
      </c>
      <c r="Q47" s="1">
        <v>8.8000000000000007</v>
      </c>
      <c r="R47" s="1" t="s">
        <v>58</v>
      </c>
      <c r="S47" s="1">
        <v>307.27999999999997</v>
      </c>
      <c r="T47" s="1">
        <v>377</v>
      </c>
      <c r="U47" s="1">
        <v>1.82</v>
      </c>
      <c r="V47" s="1">
        <v>9.4</v>
      </c>
      <c r="W47" s="1">
        <v>0</v>
      </c>
      <c r="X47" s="1">
        <f t="shared" si="0"/>
        <v>0</v>
      </c>
      <c r="Y47" s="1">
        <v>0.1</v>
      </c>
      <c r="Z47" s="1">
        <v>5.0000000000000001E-3</v>
      </c>
      <c r="AA47" s="1">
        <v>0</v>
      </c>
      <c r="AB47" s="1">
        <v>11</v>
      </c>
      <c r="AC47" s="1">
        <v>25</v>
      </c>
      <c r="AH47" s="1">
        <v>0</v>
      </c>
      <c r="AI47" s="1">
        <f>-AK54/AA54</f>
        <v>4.6258440247009362E-3</v>
      </c>
      <c r="AJ47" s="1">
        <f t="shared" ref="AJ47" si="8">1-AH47</f>
        <v>1</v>
      </c>
      <c r="AK47" s="1">
        <f t="shared" si="1"/>
        <v>0</v>
      </c>
      <c r="AL47" s="1">
        <v>3.4874108140386501E-3</v>
      </c>
      <c r="AM47">
        <v>7</v>
      </c>
      <c r="AN47">
        <f>IF(ISNUMBER(AJ47),IF(AJ47&gt;=0.05,1,0),"")</f>
        <v>1</v>
      </c>
      <c r="AO47">
        <f>IF(ISNUMBER(AJ47),IF(AJ47&lt;0.005,1,0),"")</f>
        <v>0</v>
      </c>
      <c r="AP47">
        <f>IFERROR(MATCH(0,AN47:AN54,0)-1,8)</f>
        <v>8</v>
      </c>
      <c r="AQ47" s="34">
        <f>IF(AP47&lt;3,"n&lt;3",IFERROR(-SLOPE(AK47:INDEX(AK47:AK54,AP47),AA47:INDEX(AA47:AA54,AP47)),"no fit"))</f>
        <v>3.7002772042281371E-3</v>
      </c>
      <c r="AR47" s="35">
        <f>IF(AP47&lt;3,"",IFERROR(RSQ(AK47:INDEX(AK47:AK54,AP47),AA47:INDEX(AA47:AA54,AP47)),"flat"))</f>
        <v>0.83652348044505143</v>
      </c>
      <c r="AS47" s="36">
        <f>IFERROR(AQ47/AI47,"")</f>
        <v>0.79991395828945233</v>
      </c>
    </row>
    <row r="48" spans="1:45" ht="57" x14ac:dyDescent="0.45">
      <c r="A48" s="1" t="s">
        <v>55</v>
      </c>
      <c r="B48" s="1" t="s">
        <v>56</v>
      </c>
      <c r="C48" s="1">
        <v>107</v>
      </c>
      <c r="D48" s="1">
        <v>253.28</v>
      </c>
      <c r="E48" s="1">
        <v>0.9</v>
      </c>
      <c r="F48" s="1">
        <v>1.5549999999999999</v>
      </c>
      <c r="G48" s="1">
        <v>1.9550000000000001</v>
      </c>
      <c r="H48" s="1">
        <v>0.88</v>
      </c>
      <c r="I48" s="1">
        <v>0.95</v>
      </c>
      <c r="J48" s="1">
        <v>1.59</v>
      </c>
      <c r="K48" s="1" t="s">
        <v>50</v>
      </c>
      <c r="M48" s="1">
        <v>25</v>
      </c>
      <c r="Q48" s="1">
        <v>8.8000000000000007</v>
      </c>
      <c r="R48" s="1" t="s">
        <v>58</v>
      </c>
      <c r="S48" s="1">
        <v>307.27999999999997</v>
      </c>
      <c r="T48" s="1">
        <v>377</v>
      </c>
      <c r="U48" s="1">
        <v>1.82</v>
      </c>
      <c r="V48" s="1">
        <v>9.4</v>
      </c>
      <c r="W48" s="1">
        <v>0</v>
      </c>
      <c r="X48" s="1">
        <f t="shared" si="0"/>
        <v>0</v>
      </c>
      <c r="Y48" s="1">
        <v>0.1</v>
      </c>
      <c r="Z48" s="1">
        <v>5.0000000000000001E-3</v>
      </c>
      <c r="AA48" s="1">
        <v>1.0227379260662699</v>
      </c>
      <c r="AB48" s="1">
        <v>11</v>
      </c>
      <c r="AC48" s="1">
        <v>25</v>
      </c>
      <c r="AH48" s="1">
        <v>3.6923076999999971E-2</v>
      </c>
      <c r="AJ48" s="1">
        <f t="shared" si="2"/>
        <v>0.96307692300000003</v>
      </c>
      <c r="AK48" s="1">
        <f t="shared" si="1"/>
        <v>-3.7621991869456445E-2</v>
      </c>
      <c r="AM48">
        <v>7</v>
      </c>
      <c r="AN48">
        <f>IF(ISNUMBER(AJ48),IF(AJ48&gt;=0.05,1,0),"")</f>
        <v>1</v>
      </c>
      <c r="AO48">
        <f>IF(ISNUMBER(AJ48),IF(AJ48&lt;0.005,1,0),"")</f>
        <v>0</v>
      </c>
      <c r="AQ48" s="34"/>
      <c r="AR48" s="35"/>
      <c r="AS48" s="36"/>
    </row>
    <row r="49" spans="1:45" ht="57" x14ac:dyDescent="0.45">
      <c r="A49" s="1" t="s">
        <v>55</v>
      </c>
      <c r="B49" s="1" t="s">
        <v>56</v>
      </c>
      <c r="C49" s="1">
        <v>107</v>
      </c>
      <c r="D49" s="1">
        <v>253.28</v>
      </c>
      <c r="E49" s="1">
        <v>0.9</v>
      </c>
      <c r="F49" s="1">
        <v>1.5549999999999999</v>
      </c>
      <c r="G49" s="1">
        <v>1.9550000000000001</v>
      </c>
      <c r="H49" s="1">
        <v>0.88</v>
      </c>
      <c r="I49" s="1">
        <v>0.95</v>
      </c>
      <c r="J49" s="1">
        <v>1.59</v>
      </c>
      <c r="K49" s="1" t="s">
        <v>50</v>
      </c>
      <c r="M49" s="1">
        <v>25</v>
      </c>
      <c r="Q49" s="1">
        <v>8.8000000000000007</v>
      </c>
      <c r="R49" s="1" t="s">
        <v>58</v>
      </c>
      <c r="S49" s="1">
        <v>307.27999999999997</v>
      </c>
      <c r="T49" s="1">
        <v>377</v>
      </c>
      <c r="U49" s="1">
        <v>1.82</v>
      </c>
      <c r="V49" s="1">
        <v>9.4</v>
      </c>
      <c r="W49" s="1">
        <v>0</v>
      </c>
      <c r="X49" s="1">
        <f t="shared" si="0"/>
        <v>0</v>
      </c>
      <c r="Y49" s="1">
        <v>0.1</v>
      </c>
      <c r="Z49" s="1">
        <v>5.0000000000000001E-3</v>
      </c>
      <c r="AA49" s="1">
        <v>3.0488903033532599</v>
      </c>
      <c r="AB49" s="1">
        <v>11</v>
      </c>
      <c r="AC49" s="1">
        <v>25</v>
      </c>
      <c r="AH49" s="1">
        <v>5.2307691999999961E-2</v>
      </c>
      <c r="AJ49" s="1">
        <f t="shared" si="2"/>
        <v>0.94769230800000004</v>
      </c>
      <c r="AK49" s="1">
        <f t="shared" si="1"/>
        <v>-5.3725399031487653E-2</v>
      </c>
      <c r="AM49">
        <v>7</v>
      </c>
      <c r="AN49">
        <f>IF(ISNUMBER(AJ49),IF(AJ49&gt;=0.05,1,0),"")</f>
        <v>1</v>
      </c>
      <c r="AO49">
        <f>IF(ISNUMBER(AJ49),IF(AJ49&lt;0.005,1,0),"")</f>
        <v>0</v>
      </c>
      <c r="AQ49" s="34"/>
      <c r="AR49" s="35"/>
      <c r="AS49" s="36"/>
    </row>
    <row r="50" spans="1:45" ht="57" x14ac:dyDescent="0.45">
      <c r="A50" s="1" t="s">
        <v>55</v>
      </c>
      <c r="B50" s="1" t="s">
        <v>56</v>
      </c>
      <c r="C50" s="1">
        <v>107</v>
      </c>
      <c r="D50" s="1">
        <v>253.28</v>
      </c>
      <c r="E50" s="1">
        <v>0.9</v>
      </c>
      <c r="F50" s="1">
        <v>1.5549999999999999</v>
      </c>
      <c r="G50" s="1">
        <v>1.9550000000000001</v>
      </c>
      <c r="H50" s="1">
        <v>0.88</v>
      </c>
      <c r="I50" s="1">
        <v>0.95</v>
      </c>
      <c r="J50" s="1">
        <v>1.59</v>
      </c>
      <c r="K50" s="1" t="s">
        <v>50</v>
      </c>
      <c r="M50" s="1">
        <v>25</v>
      </c>
      <c r="Q50" s="1">
        <v>8.8000000000000007</v>
      </c>
      <c r="R50" s="1" t="s">
        <v>58</v>
      </c>
      <c r="S50" s="1">
        <v>307.27999999999997</v>
      </c>
      <c r="T50" s="1">
        <v>377</v>
      </c>
      <c r="U50" s="1">
        <v>1.82</v>
      </c>
      <c r="V50" s="1">
        <v>9.4</v>
      </c>
      <c r="W50" s="1">
        <v>0</v>
      </c>
      <c r="X50" s="1">
        <f t="shared" si="0"/>
        <v>0</v>
      </c>
      <c r="Y50" s="1">
        <v>0.1</v>
      </c>
      <c r="Z50" s="1">
        <v>5.0000000000000001E-3</v>
      </c>
      <c r="AA50" s="1">
        <v>5.0750426806402604</v>
      </c>
      <c r="AB50" s="1">
        <v>11</v>
      </c>
      <c r="AC50" s="1">
        <v>25</v>
      </c>
      <c r="AH50" s="1">
        <v>7.0769230999999988E-2</v>
      </c>
      <c r="AJ50" s="1">
        <f t="shared" si="2"/>
        <v>0.92923076900000001</v>
      </c>
      <c r="AK50" s="1">
        <f t="shared" si="1"/>
        <v>-7.3398165203212198E-2</v>
      </c>
      <c r="AM50">
        <v>7</v>
      </c>
      <c r="AN50">
        <f>IF(ISNUMBER(AJ50),IF(AJ50&gt;=0.05,1,0),"")</f>
        <v>1</v>
      </c>
      <c r="AO50">
        <f>IF(ISNUMBER(AJ50),IF(AJ50&lt;0.005,1,0),"")</f>
        <v>0</v>
      </c>
      <c r="AQ50" s="34"/>
      <c r="AR50" s="35"/>
      <c r="AS50" s="36"/>
    </row>
    <row r="51" spans="1:45" ht="57" x14ac:dyDescent="0.45">
      <c r="A51" s="1" t="s">
        <v>55</v>
      </c>
      <c r="B51" s="1" t="s">
        <v>56</v>
      </c>
      <c r="C51" s="1">
        <v>107</v>
      </c>
      <c r="D51" s="1">
        <v>253.28</v>
      </c>
      <c r="E51" s="1">
        <v>0.9</v>
      </c>
      <c r="F51" s="1">
        <v>1.5549999999999999</v>
      </c>
      <c r="G51" s="1">
        <v>1.9550000000000001</v>
      </c>
      <c r="H51" s="1">
        <v>0.88</v>
      </c>
      <c r="I51" s="1">
        <v>0.95</v>
      </c>
      <c r="J51" s="1">
        <v>1.59</v>
      </c>
      <c r="K51" s="1" t="s">
        <v>50</v>
      </c>
      <c r="M51" s="1">
        <v>25</v>
      </c>
      <c r="Q51" s="1">
        <v>8.8000000000000007</v>
      </c>
      <c r="R51" s="1" t="s">
        <v>58</v>
      </c>
      <c r="S51" s="1">
        <v>307.27999999999997</v>
      </c>
      <c r="T51" s="1">
        <v>377</v>
      </c>
      <c r="U51" s="1">
        <v>1.82</v>
      </c>
      <c r="V51" s="1">
        <v>9.4</v>
      </c>
      <c r="W51" s="1">
        <v>0</v>
      </c>
      <c r="X51" s="1">
        <f t="shared" si="0"/>
        <v>0</v>
      </c>
      <c r="Y51" s="1">
        <v>0.1</v>
      </c>
      <c r="Z51" s="1">
        <v>5.0000000000000001E-3</v>
      </c>
      <c r="AA51" s="1">
        <v>10.027859602897299</v>
      </c>
      <c r="AB51" s="1">
        <v>11</v>
      </c>
      <c r="AC51" s="1">
        <v>25</v>
      </c>
      <c r="AH51" s="1">
        <v>7.999999999999996E-2</v>
      </c>
      <c r="AJ51" s="1">
        <f t="shared" si="2"/>
        <v>0.92</v>
      </c>
      <c r="AK51" s="1">
        <f t="shared" si="1"/>
        <v>-8.3381608939051013E-2</v>
      </c>
      <c r="AM51">
        <v>7</v>
      </c>
      <c r="AN51">
        <f>IF(ISNUMBER(AJ51),IF(AJ51&gt;=0.05,1,0),"")</f>
        <v>1</v>
      </c>
      <c r="AO51">
        <f>IF(ISNUMBER(AJ51),IF(AJ51&lt;0.005,1,0),"")</f>
        <v>0</v>
      </c>
      <c r="AQ51" s="34"/>
      <c r="AR51" s="35"/>
      <c r="AS51" s="36"/>
    </row>
    <row r="52" spans="1:45" ht="57" x14ac:dyDescent="0.45">
      <c r="A52" s="1" t="s">
        <v>55</v>
      </c>
      <c r="B52" s="1" t="s">
        <v>56</v>
      </c>
      <c r="C52" s="1">
        <v>107</v>
      </c>
      <c r="D52" s="1">
        <v>253.28</v>
      </c>
      <c r="E52" s="1">
        <v>0.9</v>
      </c>
      <c r="F52" s="1">
        <v>1.5549999999999999</v>
      </c>
      <c r="G52" s="1">
        <v>1.9550000000000001</v>
      </c>
      <c r="H52" s="1">
        <v>0.88</v>
      </c>
      <c r="I52" s="1">
        <v>0.95</v>
      </c>
      <c r="J52" s="1">
        <v>1.59</v>
      </c>
      <c r="K52" s="1" t="s">
        <v>50</v>
      </c>
      <c r="M52" s="1">
        <v>25</v>
      </c>
      <c r="Q52" s="1">
        <v>8.8000000000000007</v>
      </c>
      <c r="R52" s="1" t="s">
        <v>58</v>
      </c>
      <c r="S52" s="1">
        <v>307.27999999999997</v>
      </c>
      <c r="T52" s="1">
        <v>377</v>
      </c>
      <c r="U52" s="1">
        <v>1.82</v>
      </c>
      <c r="V52" s="1">
        <v>9.4</v>
      </c>
      <c r="W52" s="1">
        <v>0</v>
      </c>
      <c r="X52" s="1">
        <f t="shared" si="0"/>
        <v>0</v>
      </c>
      <c r="Y52" s="1">
        <v>0.1</v>
      </c>
      <c r="Z52" s="1">
        <v>5.0000000000000001E-3</v>
      </c>
      <c r="AA52" s="1">
        <v>15.1307618864349</v>
      </c>
      <c r="AB52" s="1">
        <v>11</v>
      </c>
      <c r="AC52" s="1">
        <v>25</v>
      </c>
      <c r="AH52" s="1">
        <v>9.538461499999995E-2</v>
      </c>
      <c r="AJ52" s="1">
        <f t="shared" si="2"/>
        <v>0.90461538500000005</v>
      </c>
      <c r="AK52" s="1">
        <f t="shared" si="1"/>
        <v>-0.10024541456588575</v>
      </c>
      <c r="AM52">
        <v>7</v>
      </c>
      <c r="AN52">
        <f>IF(ISNUMBER(AJ52),IF(AJ52&gt;=0.05,1,0),"")</f>
        <v>1</v>
      </c>
      <c r="AO52">
        <f>IF(ISNUMBER(AJ52),IF(AJ52&lt;0.005,1,0),"")</f>
        <v>0</v>
      </c>
      <c r="AQ52" s="34"/>
      <c r="AR52" s="35"/>
      <c r="AS52" s="36"/>
    </row>
    <row r="53" spans="1:45" ht="57" x14ac:dyDescent="0.45">
      <c r="A53" s="1" t="s">
        <v>55</v>
      </c>
      <c r="B53" s="1" t="s">
        <v>56</v>
      </c>
      <c r="C53" s="1">
        <v>107</v>
      </c>
      <c r="D53" s="1">
        <v>253.28</v>
      </c>
      <c r="E53" s="1">
        <v>0.9</v>
      </c>
      <c r="F53" s="1">
        <v>1.5549999999999999</v>
      </c>
      <c r="G53" s="1">
        <v>1.9550000000000001</v>
      </c>
      <c r="H53" s="1">
        <v>0.88</v>
      </c>
      <c r="I53" s="1">
        <v>0.95</v>
      </c>
      <c r="J53" s="1">
        <v>1.59</v>
      </c>
      <c r="K53" s="1" t="s">
        <v>50</v>
      </c>
      <c r="M53" s="1">
        <v>25</v>
      </c>
      <c r="Q53" s="1">
        <v>8.8000000000000007</v>
      </c>
      <c r="R53" s="1" t="s">
        <v>58</v>
      </c>
      <c r="S53" s="1">
        <v>307.27999999999997</v>
      </c>
      <c r="T53" s="1">
        <v>377</v>
      </c>
      <c r="U53" s="1">
        <v>1.82</v>
      </c>
      <c r="V53" s="1">
        <v>9.4</v>
      </c>
      <c r="W53" s="1">
        <v>0</v>
      </c>
      <c r="X53" s="1">
        <f t="shared" si="0"/>
        <v>0</v>
      </c>
      <c r="Y53" s="1">
        <v>0.1</v>
      </c>
      <c r="Z53" s="1">
        <v>5.0000000000000001E-3</v>
      </c>
      <c r="AA53" s="1">
        <v>19.9334934474115</v>
      </c>
      <c r="AB53" s="1">
        <v>11</v>
      </c>
      <c r="AC53" s="1">
        <v>25</v>
      </c>
      <c r="AH53" s="1">
        <v>9.2307691999999997E-2</v>
      </c>
      <c r="AJ53" s="1">
        <f t="shared" si="2"/>
        <v>0.907692308</v>
      </c>
      <c r="AK53" s="1">
        <f t="shared" si="1"/>
        <v>-9.6849825650934612E-2</v>
      </c>
      <c r="AM53">
        <v>7</v>
      </c>
      <c r="AN53">
        <f>IF(ISNUMBER(AJ53),IF(AJ53&gt;=0.05,1,0),"")</f>
        <v>1</v>
      </c>
      <c r="AO53">
        <f>IF(ISNUMBER(AJ53),IF(AJ53&lt;0.005,1,0),"")</f>
        <v>0</v>
      </c>
      <c r="AQ53" s="34"/>
      <c r="AR53" s="35"/>
      <c r="AS53" s="36"/>
    </row>
    <row r="54" spans="1:45" ht="57" x14ac:dyDescent="0.45">
      <c r="A54" s="1" t="s">
        <v>55</v>
      </c>
      <c r="B54" s="1" t="s">
        <v>56</v>
      </c>
      <c r="C54" s="1">
        <v>107</v>
      </c>
      <c r="D54" s="1">
        <v>253.28</v>
      </c>
      <c r="E54" s="1">
        <v>0.9</v>
      </c>
      <c r="F54" s="1">
        <v>1.5549999999999999</v>
      </c>
      <c r="G54" s="1">
        <v>1.9550000000000001</v>
      </c>
      <c r="H54" s="1">
        <v>0.88</v>
      </c>
      <c r="I54" s="1">
        <v>0.95</v>
      </c>
      <c r="J54" s="1">
        <v>1.59</v>
      </c>
      <c r="K54" s="1" t="s">
        <v>50</v>
      </c>
      <c r="M54" s="1">
        <v>25</v>
      </c>
      <c r="Q54" s="1">
        <v>8.8000000000000007</v>
      </c>
      <c r="R54" s="1" t="s">
        <v>58</v>
      </c>
      <c r="S54" s="1">
        <v>307.27999999999997</v>
      </c>
      <c r="T54" s="1">
        <v>377</v>
      </c>
      <c r="U54" s="1">
        <v>1.82</v>
      </c>
      <c r="V54" s="1">
        <v>9.4</v>
      </c>
      <c r="W54" s="1">
        <v>0</v>
      </c>
      <c r="X54" s="1">
        <f t="shared" si="0"/>
        <v>0</v>
      </c>
      <c r="Y54" s="1">
        <v>0.1</v>
      </c>
      <c r="Z54" s="1">
        <v>5.0000000000000001E-3</v>
      </c>
      <c r="AA54" s="1">
        <v>29.914169972565901</v>
      </c>
      <c r="AB54" s="1">
        <v>11</v>
      </c>
      <c r="AC54" s="1">
        <v>25</v>
      </c>
      <c r="AH54" s="1">
        <v>0.12923076899999997</v>
      </c>
      <c r="AJ54" s="1">
        <f t="shared" si="2"/>
        <v>0.87076923100000003</v>
      </c>
      <c r="AK54" s="1">
        <f t="shared" si="1"/>
        <v>-0.13837828442148215</v>
      </c>
      <c r="AM54">
        <v>7</v>
      </c>
      <c r="AN54">
        <f>IF(ISNUMBER(AJ54),IF(AJ54&gt;=0.05,1,0),"")</f>
        <v>1</v>
      </c>
      <c r="AO54">
        <f>IF(ISNUMBER(AJ54),IF(AJ54&lt;0.005,1,0),"")</f>
        <v>0</v>
      </c>
      <c r="AQ54" s="34"/>
      <c r="AR54" s="35"/>
      <c r="AS54" s="36"/>
    </row>
    <row r="55" spans="1:45" ht="57" x14ac:dyDescent="0.45">
      <c r="A55" s="1" t="s">
        <v>55</v>
      </c>
      <c r="B55" s="1" t="s">
        <v>56</v>
      </c>
      <c r="C55" s="1">
        <v>107</v>
      </c>
      <c r="D55" s="1">
        <v>253.28</v>
      </c>
      <c r="E55" s="1">
        <v>0.9</v>
      </c>
      <c r="F55" s="1">
        <v>1.5549999999999999</v>
      </c>
      <c r="G55" s="1">
        <v>1.9550000000000001</v>
      </c>
      <c r="H55" s="1">
        <v>0.88</v>
      </c>
      <c r="I55" s="1">
        <v>0.95</v>
      </c>
      <c r="J55" s="1">
        <v>1.59</v>
      </c>
      <c r="K55" s="1" t="s">
        <v>57</v>
      </c>
      <c r="M55" s="1">
        <v>25</v>
      </c>
      <c r="Q55" s="1">
        <v>8.8000000000000007</v>
      </c>
      <c r="W55" s="1">
        <v>2.5000000000000001E-2</v>
      </c>
      <c r="X55" s="1">
        <f t="shared" si="0"/>
        <v>25</v>
      </c>
      <c r="Z55" s="1">
        <v>5.0000000000000001E-3</v>
      </c>
      <c r="AA55" s="1">
        <v>0</v>
      </c>
      <c r="AB55" s="1">
        <v>11</v>
      </c>
      <c r="AC55" s="1">
        <v>25</v>
      </c>
      <c r="AH55" s="1">
        <v>0</v>
      </c>
      <c r="AI55" s="1">
        <f>-AK62/AA62</f>
        <v>8.637118925021536E-3</v>
      </c>
      <c r="AJ55" s="1">
        <f t="shared" ref="AJ55" si="9">1-AH55</f>
        <v>1</v>
      </c>
      <c r="AK55" s="1">
        <f t="shared" si="1"/>
        <v>0</v>
      </c>
      <c r="AL55" s="1">
        <v>3.0346424996290301E-3</v>
      </c>
      <c r="AM55">
        <v>8</v>
      </c>
      <c r="AN55">
        <f>IF(ISNUMBER(AJ55),IF(AJ55&gt;=0.05,1,0),"")</f>
        <v>1</v>
      </c>
      <c r="AO55">
        <f>IF(ISNUMBER(AJ55),IF(AJ55&lt;0.005,1,0),"")</f>
        <v>0</v>
      </c>
      <c r="AP55">
        <f>IFERROR(MATCH(0,AN55:AN62,0)-1,8)</f>
        <v>8</v>
      </c>
      <c r="AQ55" s="34">
        <f>IF(AP55&lt;3,"n&lt;3",IFERROR(-SLOPE(AK55:INDEX(AK55:AK62,AP55),AA55:INDEX(AA55:AA62,AP55)),"no fit"))</f>
        <v>5.0016909408452685E-3</v>
      </c>
      <c r="AR55" s="35">
        <f>IF(AP55&lt;3,"",IFERROR(RSQ(AK55:INDEX(AK55:AK62,AP55),AA55:INDEX(AA55:AA62,AP55)),"flat"))</f>
        <v>0.36502389773154403</v>
      </c>
      <c r="AS55" s="36">
        <f>IFERROR(AQ55/AI55,"")</f>
        <v>0.57909251733879508</v>
      </c>
    </row>
    <row r="56" spans="1:45" ht="57" x14ac:dyDescent="0.45">
      <c r="A56" s="1" t="s">
        <v>55</v>
      </c>
      <c r="B56" s="1" t="s">
        <v>56</v>
      </c>
      <c r="C56" s="1">
        <v>107</v>
      </c>
      <c r="D56" s="1">
        <v>253.28</v>
      </c>
      <c r="E56" s="1">
        <v>0.9</v>
      </c>
      <c r="F56" s="1">
        <v>1.5549999999999999</v>
      </c>
      <c r="G56" s="1">
        <v>1.9550000000000001</v>
      </c>
      <c r="H56" s="1">
        <v>0.88</v>
      </c>
      <c r="I56" s="1">
        <v>0.95</v>
      </c>
      <c r="J56" s="1">
        <v>1.59</v>
      </c>
      <c r="K56" s="1" t="s">
        <v>57</v>
      </c>
      <c r="M56" s="1">
        <v>25</v>
      </c>
      <c r="Q56" s="1">
        <v>8.8000000000000007</v>
      </c>
      <c r="W56" s="1">
        <v>2.5000000000000001E-2</v>
      </c>
      <c r="X56" s="1">
        <f t="shared" si="0"/>
        <v>25</v>
      </c>
      <c r="Z56" s="1">
        <v>5.0000000000000001E-3</v>
      </c>
      <c r="AA56" s="1">
        <v>1.0227379260662699</v>
      </c>
      <c r="AB56" s="1">
        <v>11</v>
      </c>
      <c r="AC56" s="1">
        <v>25</v>
      </c>
      <c r="AH56" s="1">
        <v>0.15692307699999997</v>
      </c>
      <c r="AJ56" s="1">
        <f t="shared" si="2"/>
        <v>0.84307692300000003</v>
      </c>
      <c r="AK56" s="1">
        <f t="shared" si="1"/>
        <v>-0.1706970760329081</v>
      </c>
      <c r="AM56">
        <v>8</v>
      </c>
      <c r="AN56">
        <f>IF(ISNUMBER(AJ56),IF(AJ56&gt;=0.05,1,0),"")</f>
        <v>1</v>
      </c>
      <c r="AO56">
        <f>IF(ISNUMBER(AJ56),IF(AJ56&lt;0.005,1,0),"")</f>
        <v>0</v>
      </c>
      <c r="AQ56" s="34"/>
      <c r="AR56" s="35"/>
      <c r="AS56" s="36"/>
    </row>
    <row r="57" spans="1:45" ht="57" x14ac:dyDescent="0.45">
      <c r="A57" s="1" t="s">
        <v>55</v>
      </c>
      <c r="B57" s="1" t="s">
        <v>56</v>
      </c>
      <c r="C57" s="1">
        <v>107</v>
      </c>
      <c r="D57" s="1">
        <v>253.28</v>
      </c>
      <c r="E57" s="1">
        <v>0.9</v>
      </c>
      <c r="F57" s="1">
        <v>1.5549999999999999</v>
      </c>
      <c r="G57" s="1">
        <v>1.9550000000000001</v>
      </c>
      <c r="H57" s="1">
        <v>0.88</v>
      </c>
      <c r="I57" s="1">
        <v>0.95</v>
      </c>
      <c r="J57" s="1">
        <v>1.59</v>
      </c>
      <c r="K57" s="1" t="s">
        <v>57</v>
      </c>
      <c r="M57" s="1">
        <v>25</v>
      </c>
      <c r="Q57" s="1">
        <v>8.8000000000000007</v>
      </c>
      <c r="W57" s="1">
        <v>2.5000000000000001E-2</v>
      </c>
      <c r="X57" s="1">
        <f t="shared" si="0"/>
        <v>25</v>
      </c>
      <c r="Z57" s="1">
        <v>5.0000000000000001E-3</v>
      </c>
      <c r="AA57" s="1">
        <v>3.1239329839935199</v>
      </c>
      <c r="AB57" s="1">
        <v>11</v>
      </c>
      <c r="AC57" s="1">
        <v>25</v>
      </c>
      <c r="AH57" s="1">
        <v>0.196923077</v>
      </c>
      <c r="AJ57" s="1">
        <f t="shared" si="2"/>
        <v>0.803076923</v>
      </c>
      <c r="AK57" s="1">
        <f t="shared" si="1"/>
        <v>-0.21930477510282953</v>
      </c>
      <c r="AM57">
        <v>8</v>
      </c>
      <c r="AN57">
        <f>IF(ISNUMBER(AJ57),IF(AJ57&gt;=0.05,1,0),"")</f>
        <v>1</v>
      </c>
      <c r="AO57">
        <f>IF(ISNUMBER(AJ57),IF(AJ57&lt;0.005,1,0),"")</f>
        <v>0</v>
      </c>
      <c r="AQ57" s="34"/>
      <c r="AR57" s="35"/>
      <c r="AS57" s="36"/>
    </row>
    <row r="58" spans="1:45" ht="57" x14ac:dyDescent="0.45">
      <c r="A58" s="1" t="s">
        <v>55</v>
      </c>
      <c r="B58" s="1" t="s">
        <v>56</v>
      </c>
      <c r="C58" s="1">
        <v>107</v>
      </c>
      <c r="D58" s="1">
        <v>253.28</v>
      </c>
      <c r="E58" s="1">
        <v>0.9</v>
      </c>
      <c r="F58" s="1">
        <v>1.5549999999999999</v>
      </c>
      <c r="G58" s="1">
        <v>1.9550000000000001</v>
      </c>
      <c r="H58" s="1">
        <v>0.88</v>
      </c>
      <c r="I58" s="1">
        <v>0.95</v>
      </c>
      <c r="J58" s="1">
        <v>1.59</v>
      </c>
      <c r="K58" s="1" t="s">
        <v>57</v>
      </c>
      <c r="M58" s="1">
        <v>25</v>
      </c>
      <c r="Q58" s="1">
        <v>8.8000000000000007</v>
      </c>
      <c r="W58" s="1">
        <v>2.5000000000000001E-2</v>
      </c>
      <c r="X58" s="1">
        <f t="shared" si="0"/>
        <v>25</v>
      </c>
      <c r="Z58" s="1">
        <v>5.0000000000000001E-3</v>
      </c>
      <c r="AA58" s="1">
        <v>4.9249573193597298</v>
      </c>
      <c r="AB58" s="1">
        <v>11</v>
      </c>
      <c r="AC58" s="1">
        <v>25</v>
      </c>
      <c r="AH58" s="1">
        <v>0.21230769199999999</v>
      </c>
      <c r="AJ58" s="1">
        <f t="shared" si="2"/>
        <v>0.78769230800000001</v>
      </c>
      <c r="AK58" s="1">
        <f t="shared" si="1"/>
        <v>-0.23864773745955001</v>
      </c>
      <c r="AM58">
        <v>8</v>
      </c>
      <c r="AN58">
        <f>IF(ISNUMBER(AJ58),IF(AJ58&gt;=0.05,1,0),"")</f>
        <v>1</v>
      </c>
      <c r="AO58">
        <f>IF(ISNUMBER(AJ58),IF(AJ58&lt;0.005,1,0),"")</f>
        <v>0</v>
      </c>
      <c r="AQ58" s="34"/>
      <c r="AR58" s="35"/>
      <c r="AS58" s="36"/>
    </row>
    <row r="59" spans="1:45" ht="57" x14ac:dyDescent="0.45">
      <c r="A59" s="1" t="s">
        <v>55</v>
      </c>
      <c r="B59" s="1" t="s">
        <v>56</v>
      </c>
      <c r="C59" s="1">
        <v>107</v>
      </c>
      <c r="D59" s="1">
        <v>253.28</v>
      </c>
      <c r="E59" s="1">
        <v>0.9</v>
      </c>
      <c r="F59" s="1">
        <v>1.5549999999999999</v>
      </c>
      <c r="G59" s="1">
        <v>1.9550000000000001</v>
      </c>
      <c r="H59" s="1">
        <v>0.88</v>
      </c>
      <c r="I59" s="1">
        <v>0.95</v>
      </c>
      <c r="J59" s="1">
        <v>1.59</v>
      </c>
      <c r="K59" s="1" t="s">
        <v>57</v>
      </c>
      <c r="M59" s="1">
        <v>25</v>
      </c>
      <c r="Q59" s="1">
        <v>8.8000000000000007</v>
      </c>
      <c r="W59" s="1">
        <v>2.5000000000000001E-2</v>
      </c>
      <c r="X59" s="1">
        <f t="shared" si="0"/>
        <v>25</v>
      </c>
      <c r="Z59" s="1">
        <v>5.0000000000000001E-3</v>
      </c>
      <c r="AA59" s="1">
        <v>9.9528169222570906</v>
      </c>
      <c r="AB59" s="1">
        <v>11</v>
      </c>
      <c r="AC59" s="1">
        <v>25</v>
      </c>
      <c r="AH59" s="1">
        <v>0.21230769199999999</v>
      </c>
      <c r="AJ59" s="1">
        <f t="shared" si="2"/>
        <v>0.78769230800000001</v>
      </c>
      <c r="AK59" s="1">
        <f t="shared" si="1"/>
        <v>-0.23864773745955001</v>
      </c>
      <c r="AM59">
        <v>8</v>
      </c>
      <c r="AN59">
        <f>IF(ISNUMBER(AJ59),IF(AJ59&gt;=0.05,1,0),"")</f>
        <v>1</v>
      </c>
      <c r="AO59">
        <f>IF(ISNUMBER(AJ59),IF(AJ59&lt;0.005,1,0),"")</f>
        <v>0</v>
      </c>
      <c r="AQ59" s="34"/>
      <c r="AR59" s="35"/>
      <c r="AS59" s="36"/>
    </row>
    <row r="60" spans="1:45" ht="57" x14ac:dyDescent="0.45">
      <c r="A60" s="1" t="s">
        <v>55</v>
      </c>
      <c r="B60" s="1" t="s">
        <v>56</v>
      </c>
      <c r="C60" s="1">
        <v>107</v>
      </c>
      <c r="D60" s="1">
        <v>253.28</v>
      </c>
      <c r="E60" s="1">
        <v>0.9</v>
      </c>
      <c r="F60" s="1">
        <v>1.5549999999999999</v>
      </c>
      <c r="G60" s="1">
        <v>1.9550000000000001</v>
      </c>
      <c r="H60" s="1">
        <v>0.88</v>
      </c>
      <c r="I60" s="1">
        <v>0.95</v>
      </c>
      <c r="J60" s="1">
        <v>1.59</v>
      </c>
      <c r="K60" s="1" t="s">
        <v>57</v>
      </c>
      <c r="M60" s="1">
        <v>25</v>
      </c>
      <c r="Q60" s="1">
        <v>8.8000000000000007</v>
      </c>
      <c r="W60" s="1">
        <v>2.5000000000000001E-2</v>
      </c>
      <c r="X60" s="1">
        <f t="shared" si="0"/>
        <v>25</v>
      </c>
      <c r="Z60" s="1">
        <v>5.0000000000000001E-3</v>
      </c>
      <c r="AA60" s="1">
        <v>14.905633844514099</v>
      </c>
      <c r="AB60" s="1">
        <v>11</v>
      </c>
      <c r="AC60" s="1">
        <v>25</v>
      </c>
      <c r="AH60" s="1">
        <v>0.21846153800000001</v>
      </c>
      <c r="AJ60" s="1">
        <f t="shared" si="2"/>
        <v>0.78153846199999999</v>
      </c>
      <c r="AK60" s="1">
        <f t="shared" si="1"/>
        <v>-0.24649091472064974</v>
      </c>
      <c r="AM60">
        <v>8</v>
      </c>
      <c r="AN60">
        <f>IF(ISNUMBER(AJ60),IF(AJ60&gt;=0.05,1,0),"")</f>
        <v>1</v>
      </c>
      <c r="AO60">
        <f>IF(ISNUMBER(AJ60),IF(AJ60&lt;0.005,1,0),"")</f>
        <v>0</v>
      </c>
      <c r="AQ60" s="34"/>
      <c r="AR60" s="35"/>
      <c r="AS60" s="36"/>
    </row>
    <row r="61" spans="1:45" ht="57" x14ac:dyDescent="0.45">
      <c r="A61" s="1" t="s">
        <v>55</v>
      </c>
      <c r="B61" s="1" t="s">
        <v>56</v>
      </c>
      <c r="C61" s="1">
        <v>107</v>
      </c>
      <c r="D61" s="1">
        <v>253.28</v>
      </c>
      <c r="E61" s="1">
        <v>0.9</v>
      </c>
      <c r="F61" s="1">
        <v>1.5549999999999999</v>
      </c>
      <c r="G61" s="1">
        <v>1.9550000000000001</v>
      </c>
      <c r="H61" s="1">
        <v>0.88</v>
      </c>
      <c r="I61" s="1">
        <v>0.95</v>
      </c>
      <c r="J61" s="1">
        <v>1.59</v>
      </c>
      <c r="K61" s="1" t="s">
        <v>57</v>
      </c>
      <c r="M61" s="1">
        <v>25</v>
      </c>
      <c r="Q61" s="1">
        <v>8.8000000000000007</v>
      </c>
      <c r="W61" s="1">
        <v>2.5000000000000001E-2</v>
      </c>
      <c r="X61" s="1">
        <f t="shared" si="0"/>
        <v>25</v>
      </c>
      <c r="Z61" s="1">
        <v>5.0000000000000001E-3</v>
      </c>
      <c r="AA61" s="1">
        <v>19.783408086131001</v>
      </c>
      <c r="AB61" s="1">
        <v>11</v>
      </c>
      <c r="AC61" s="1">
        <v>25</v>
      </c>
      <c r="AH61" s="1">
        <v>0.224615385</v>
      </c>
      <c r="AJ61" s="1">
        <f t="shared" si="2"/>
        <v>0.775384615</v>
      </c>
      <c r="AK61" s="1">
        <f t="shared" si="1"/>
        <v>-0.25439609531434593</v>
      </c>
      <c r="AM61">
        <v>8</v>
      </c>
      <c r="AN61">
        <f>IF(ISNUMBER(AJ61),IF(AJ61&gt;=0.05,1,0),"")</f>
        <v>1</v>
      </c>
      <c r="AO61">
        <f>IF(ISNUMBER(AJ61),IF(AJ61&lt;0.005,1,0),"")</f>
        <v>0</v>
      </c>
      <c r="AQ61" s="34"/>
      <c r="AR61" s="35"/>
      <c r="AS61" s="36"/>
    </row>
    <row r="62" spans="1:45" ht="57" x14ac:dyDescent="0.45">
      <c r="A62" s="1" t="s">
        <v>55</v>
      </c>
      <c r="B62" s="1" t="s">
        <v>56</v>
      </c>
      <c r="C62" s="1">
        <v>107</v>
      </c>
      <c r="D62" s="1">
        <v>253.28</v>
      </c>
      <c r="E62" s="1">
        <v>0.9</v>
      </c>
      <c r="F62" s="1">
        <v>1.5549999999999999</v>
      </c>
      <c r="G62" s="1">
        <v>1.9550000000000001</v>
      </c>
      <c r="H62" s="1">
        <v>0.88</v>
      </c>
      <c r="I62" s="1">
        <v>0.95</v>
      </c>
      <c r="J62" s="1">
        <v>1.59</v>
      </c>
      <c r="K62" s="1" t="s">
        <v>57</v>
      </c>
      <c r="M62" s="1">
        <v>25</v>
      </c>
      <c r="Q62" s="1">
        <v>8.8000000000000007</v>
      </c>
      <c r="W62" s="1">
        <v>2.5000000000000001E-2</v>
      </c>
      <c r="X62" s="1">
        <f t="shared" si="0"/>
        <v>25</v>
      </c>
      <c r="Z62" s="1">
        <v>5.0000000000000001E-3</v>
      </c>
      <c r="AA62" s="1">
        <v>29.914169972565901</v>
      </c>
      <c r="AB62" s="1">
        <v>11</v>
      </c>
      <c r="AC62" s="1">
        <v>25</v>
      </c>
      <c r="AH62" s="1">
        <v>0.22769230799999995</v>
      </c>
      <c r="AJ62" s="1">
        <f t="shared" si="2"/>
        <v>0.77230769200000005</v>
      </c>
      <c r="AK62" s="1">
        <f t="shared" si="1"/>
        <v>-0.25837224359635991</v>
      </c>
      <c r="AM62">
        <v>8</v>
      </c>
      <c r="AN62">
        <f>IF(ISNUMBER(AJ62),IF(AJ62&gt;=0.05,1,0),"")</f>
        <v>1</v>
      </c>
      <c r="AO62">
        <f>IF(ISNUMBER(AJ62),IF(AJ62&lt;0.005,1,0),"")</f>
        <v>0</v>
      </c>
      <c r="AQ62" s="34"/>
      <c r="AR62" s="35"/>
      <c r="AS62" s="36"/>
    </row>
    <row r="63" spans="1:45" ht="57" x14ac:dyDescent="0.45">
      <c r="A63" s="1" t="s">
        <v>59</v>
      </c>
      <c r="B63" s="1" t="s">
        <v>56</v>
      </c>
      <c r="C63" s="1">
        <v>107</v>
      </c>
      <c r="D63" s="1">
        <v>253.28</v>
      </c>
      <c r="E63" s="1">
        <v>0.9</v>
      </c>
      <c r="F63" s="1">
        <v>1.5549999999999999</v>
      </c>
      <c r="G63" s="1">
        <v>1.9550000000000001</v>
      </c>
      <c r="H63" s="1">
        <v>0.88</v>
      </c>
      <c r="I63" s="1">
        <v>0.95</v>
      </c>
      <c r="J63" s="1">
        <v>1.59</v>
      </c>
      <c r="K63" s="1" t="s">
        <v>57</v>
      </c>
      <c r="M63" s="1">
        <v>25</v>
      </c>
      <c r="Q63" s="1">
        <v>8.8000000000000007</v>
      </c>
      <c r="R63" s="1" t="s">
        <v>58</v>
      </c>
      <c r="S63" s="1">
        <v>307.27999999999997</v>
      </c>
      <c r="T63" s="1">
        <v>377</v>
      </c>
      <c r="U63" s="1">
        <v>1.82</v>
      </c>
      <c r="V63" s="1">
        <v>9.4</v>
      </c>
      <c r="W63" s="1">
        <v>5.0000000000000001E-3</v>
      </c>
      <c r="X63" s="1">
        <f t="shared" si="0"/>
        <v>5</v>
      </c>
      <c r="Y63" s="1">
        <v>0.1</v>
      </c>
      <c r="Z63" s="1">
        <v>5.0000000000000001E-3</v>
      </c>
      <c r="AA63" s="1">
        <v>0</v>
      </c>
      <c r="AB63" s="1">
        <v>11</v>
      </c>
      <c r="AC63" s="1">
        <v>25</v>
      </c>
      <c r="AH63" s="1">
        <v>0</v>
      </c>
      <c r="AI63" s="1">
        <f>-AK70/AA70</f>
        <v>2.3323050818570629E-2</v>
      </c>
      <c r="AJ63" s="1">
        <f t="shared" ref="AJ63" si="10">1-AH63</f>
        <v>1</v>
      </c>
      <c r="AK63" s="1">
        <f t="shared" si="1"/>
        <v>0</v>
      </c>
      <c r="AL63" s="1">
        <v>1.8911634829648201E-2</v>
      </c>
      <c r="AM63">
        <v>9</v>
      </c>
      <c r="AN63">
        <f>IF(ISNUMBER(AJ63),IF(AJ63&gt;=0.05,1,0),"")</f>
        <v>1</v>
      </c>
      <c r="AO63">
        <f>IF(ISNUMBER(AJ63),IF(AJ63&lt;0.005,1,0),"")</f>
        <v>0</v>
      </c>
      <c r="AP63">
        <f>IFERROR(MATCH(0,AN63:AN70,0)-1,8)</f>
        <v>8</v>
      </c>
      <c r="AQ63" s="34">
        <f>IF(AP63&lt;3,"n&lt;3",IFERROR(-SLOPE(AK63:INDEX(AK63:AK70,AP63),AA63:INDEX(AA63:AA70,AP63)),"no fit"))</f>
        <v>2.0520464290096171E-2</v>
      </c>
      <c r="AR63" s="35">
        <f>IF(AP63&lt;3,"",IFERROR(RSQ(AK63:INDEX(AK63:AK70,AP63),AA63:INDEX(AA63:AA70,AP63)),"flat"))</f>
        <v>0.95157362042838844</v>
      </c>
      <c r="AS63" s="36">
        <f>IFERROR(AQ63/AI63,"")</f>
        <v>0.87983619508975475</v>
      </c>
    </row>
    <row r="64" spans="1:45" ht="57" x14ac:dyDescent="0.45">
      <c r="A64" s="1" t="s">
        <v>59</v>
      </c>
      <c r="B64" s="1" t="s">
        <v>56</v>
      </c>
      <c r="C64" s="1">
        <v>107</v>
      </c>
      <c r="D64" s="1">
        <v>253.28</v>
      </c>
      <c r="E64" s="1">
        <v>0.9</v>
      </c>
      <c r="F64" s="1">
        <v>1.5549999999999999</v>
      </c>
      <c r="G64" s="1">
        <v>1.9550000000000001</v>
      </c>
      <c r="H64" s="1">
        <v>0.88</v>
      </c>
      <c r="I64" s="1">
        <v>0.95</v>
      </c>
      <c r="J64" s="1">
        <v>1.59</v>
      </c>
      <c r="K64" s="1" t="s">
        <v>57</v>
      </c>
      <c r="M64" s="1">
        <v>25</v>
      </c>
      <c r="Q64" s="1">
        <v>8.8000000000000007</v>
      </c>
      <c r="R64" s="1" t="s">
        <v>58</v>
      </c>
      <c r="S64" s="1">
        <v>307.27999999999997</v>
      </c>
      <c r="T64" s="1">
        <v>377</v>
      </c>
      <c r="U64" s="1">
        <v>1.82</v>
      </c>
      <c r="V64" s="1">
        <v>9.4</v>
      </c>
      <c r="W64" s="1">
        <v>5.0000000000000001E-3</v>
      </c>
      <c r="X64" s="1">
        <f t="shared" si="0"/>
        <v>5</v>
      </c>
      <c r="Y64" s="1">
        <v>0.1</v>
      </c>
      <c r="Z64" s="1">
        <v>5.0000000000000001E-3</v>
      </c>
      <c r="AA64" s="1">
        <v>0.84589041095892503</v>
      </c>
      <c r="AB64" s="1">
        <v>11</v>
      </c>
      <c r="AC64" s="1">
        <v>25</v>
      </c>
      <c r="AH64" s="1">
        <v>0.14260273972602799</v>
      </c>
      <c r="AJ64" s="1">
        <f t="shared" si="2"/>
        <v>0.85739726027397201</v>
      </c>
      <c r="AK64" s="1">
        <f t="shared" si="1"/>
        <v>-0.15385392021178174</v>
      </c>
      <c r="AM64">
        <v>9</v>
      </c>
      <c r="AN64">
        <f>IF(ISNUMBER(AJ64),IF(AJ64&gt;=0.05,1,0),"")</f>
        <v>1</v>
      </c>
      <c r="AO64">
        <f>IF(ISNUMBER(AJ64),IF(AJ64&lt;0.005,1,0),"")</f>
        <v>0</v>
      </c>
      <c r="AQ64" s="34"/>
      <c r="AR64" s="35"/>
      <c r="AS64" s="36"/>
    </row>
    <row r="65" spans="1:45" ht="57" x14ac:dyDescent="0.45">
      <c r="A65" s="1" t="s">
        <v>59</v>
      </c>
      <c r="B65" s="1" t="s">
        <v>56</v>
      </c>
      <c r="C65" s="1">
        <v>107</v>
      </c>
      <c r="D65" s="1">
        <v>253.28</v>
      </c>
      <c r="E65" s="1">
        <v>0.9</v>
      </c>
      <c r="F65" s="1">
        <v>1.5549999999999999</v>
      </c>
      <c r="G65" s="1">
        <v>1.9550000000000001</v>
      </c>
      <c r="H65" s="1">
        <v>0.88</v>
      </c>
      <c r="I65" s="1">
        <v>0.95</v>
      </c>
      <c r="J65" s="1">
        <v>1.59</v>
      </c>
      <c r="K65" s="1" t="s">
        <v>57</v>
      </c>
      <c r="M65" s="1">
        <v>25</v>
      </c>
      <c r="Q65" s="1">
        <v>8.8000000000000007</v>
      </c>
      <c r="R65" s="1" t="s">
        <v>58</v>
      </c>
      <c r="S65" s="1">
        <v>307.27999999999997</v>
      </c>
      <c r="T65" s="1">
        <v>377</v>
      </c>
      <c r="U65" s="1">
        <v>1.82</v>
      </c>
      <c r="V65" s="1">
        <v>9.4</v>
      </c>
      <c r="W65" s="1">
        <v>5.0000000000000001E-3</v>
      </c>
      <c r="X65" s="1">
        <f t="shared" si="0"/>
        <v>5</v>
      </c>
      <c r="Y65" s="1">
        <v>0.1</v>
      </c>
      <c r="Z65" s="1">
        <v>5.0000000000000001E-3</v>
      </c>
      <c r="AA65" s="1">
        <v>2.9726027397260402</v>
      </c>
      <c r="AB65" s="1">
        <v>11</v>
      </c>
      <c r="AC65" s="1">
        <v>25</v>
      </c>
      <c r="AH65" s="1">
        <v>0.19301369863013795</v>
      </c>
      <c r="AJ65" s="1">
        <f t="shared" si="2"/>
        <v>0.80698630136986205</v>
      </c>
      <c r="AK65" s="1">
        <f t="shared" si="1"/>
        <v>-0.21444858561479635</v>
      </c>
      <c r="AM65">
        <v>9</v>
      </c>
      <c r="AN65">
        <f>IF(ISNUMBER(AJ65),IF(AJ65&gt;=0.05,1,0),"")</f>
        <v>1</v>
      </c>
      <c r="AO65">
        <f>IF(ISNUMBER(AJ65),IF(AJ65&lt;0.005,1,0),"")</f>
        <v>0</v>
      </c>
      <c r="AQ65" s="34"/>
      <c r="AR65" s="35"/>
      <c r="AS65" s="36"/>
    </row>
    <row r="66" spans="1:45" ht="57" x14ac:dyDescent="0.45">
      <c r="A66" s="1" t="s">
        <v>59</v>
      </c>
      <c r="B66" s="1" t="s">
        <v>56</v>
      </c>
      <c r="C66" s="1">
        <v>107</v>
      </c>
      <c r="D66" s="1">
        <v>253.28</v>
      </c>
      <c r="E66" s="1">
        <v>0.9</v>
      </c>
      <c r="F66" s="1">
        <v>1.5549999999999999</v>
      </c>
      <c r="G66" s="1">
        <v>1.9550000000000001</v>
      </c>
      <c r="H66" s="1">
        <v>0.88</v>
      </c>
      <c r="I66" s="1">
        <v>0.95</v>
      </c>
      <c r="J66" s="1">
        <v>1.59</v>
      </c>
      <c r="K66" s="1" t="s">
        <v>57</v>
      </c>
      <c r="M66" s="1">
        <v>25</v>
      </c>
      <c r="Q66" s="1">
        <v>8.8000000000000007</v>
      </c>
      <c r="R66" s="1" t="s">
        <v>58</v>
      </c>
      <c r="S66" s="1">
        <v>307.27999999999997</v>
      </c>
      <c r="T66" s="1">
        <v>377</v>
      </c>
      <c r="U66" s="1">
        <v>1.82</v>
      </c>
      <c r="V66" s="1">
        <v>9.4</v>
      </c>
      <c r="W66" s="1">
        <v>5.0000000000000001E-3</v>
      </c>
      <c r="X66" s="1">
        <f t="shared" si="0"/>
        <v>5</v>
      </c>
      <c r="Y66" s="1">
        <v>0.1</v>
      </c>
      <c r="Z66" s="1">
        <v>5.0000000000000001E-3</v>
      </c>
      <c r="AA66" s="1">
        <v>5.1780821917808399</v>
      </c>
      <c r="AB66" s="1">
        <v>11</v>
      </c>
      <c r="AC66" s="1">
        <v>25</v>
      </c>
      <c r="AH66" s="1">
        <v>0.23082191780822003</v>
      </c>
      <c r="AJ66" s="1">
        <f t="shared" si="2"/>
        <v>0.76917808219177997</v>
      </c>
      <c r="AK66" s="1">
        <f t="shared" si="1"/>
        <v>-0.26243275996394005</v>
      </c>
      <c r="AM66">
        <v>9</v>
      </c>
      <c r="AN66">
        <f>IF(ISNUMBER(AJ66),IF(AJ66&gt;=0.05,1,0),"")</f>
        <v>1</v>
      </c>
      <c r="AO66">
        <f>IF(ISNUMBER(AJ66),IF(AJ66&lt;0.005,1,0),"")</f>
        <v>0</v>
      </c>
      <c r="AQ66" s="34"/>
      <c r="AR66" s="35"/>
      <c r="AS66" s="36"/>
    </row>
    <row r="67" spans="1:45" ht="57" x14ac:dyDescent="0.45">
      <c r="A67" s="1" t="s">
        <v>59</v>
      </c>
      <c r="B67" s="1" t="s">
        <v>56</v>
      </c>
      <c r="C67" s="1">
        <v>107</v>
      </c>
      <c r="D67" s="1">
        <v>253.28</v>
      </c>
      <c r="E67" s="1">
        <v>0.9</v>
      </c>
      <c r="F67" s="1">
        <v>1.5549999999999999</v>
      </c>
      <c r="G67" s="1">
        <v>1.9550000000000001</v>
      </c>
      <c r="H67" s="1">
        <v>0.88</v>
      </c>
      <c r="I67" s="1">
        <v>0.95</v>
      </c>
      <c r="J67" s="1">
        <v>1.59</v>
      </c>
      <c r="K67" s="1" t="s">
        <v>57</v>
      </c>
      <c r="M67" s="1">
        <v>25</v>
      </c>
      <c r="Q67" s="1">
        <v>8.8000000000000007</v>
      </c>
      <c r="R67" s="1" t="s">
        <v>58</v>
      </c>
      <c r="S67" s="1">
        <v>307.27999999999997</v>
      </c>
      <c r="T67" s="1">
        <v>377</v>
      </c>
      <c r="U67" s="1">
        <v>1.82</v>
      </c>
      <c r="V67" s="1">
        <v>9.4</v>
      </c>
      <c r="W67" s="1">
        <v>5.0000000000000001E-3</v>
      </c>
      <c r="X67" s="1">
        <f t="shared" si="0"/>
        <v>5</v>
      </c>
      <c r="Y67" s="1">
        <v>0.1</v>
      </c>
      <c r="Z67" s="1">
        <v>5.0000000000000001E-3</v>
      </c>
      <c r="AA67" s="1">
        <v>10.455479452054799</v>
      </c>
      <c r="AB67" s="1">
        <v>11</v>
      </c>
      <c r="AC67" s="1">
        <v>25</v>
      </c>
      <c r="AH67" s="1">
        <v>0.29698630136986404</v>
      </c>
      <c r="AJ67" s="1">
        <f t="shared" si="2"/>
        <v>0.70301369863013596</v>
      </c>
      <c r="AK67" s="1">
        <f t="shared" si="1"/>
        <v>-0.3523789014009569</v>
      </c>
      <c r="AM67">
        <v>9</v>
      </c>
      <c r="AN67">
        <f>IF(ISNUMBER(AJ67),IF(AJ67&gt;=0.05,1,0),"")</f>
        <v>1</v>
      </c>
      <c r="AO67">
        <f>IF(ISNUMBER(AJ67),IF(AJ67&lt;0.005,1,0),"")</f>
        <v>0</v>
      </c>
      <c r="AQ67" s="34"/>
      <c r="AR67" s="35"/>
      <c r="AS67" s="36"/>
    </row>
    <row r="68" spans="1:45" ht="57" x14ac:dyDescent="0.45">
      <c r="A68" s="1" t="s">
        <v>59</v>
      </c>
      <c r="B68" s="1" t="s">
        <v>56</v>
      </c>
      <c r="C68" s="1">
        <v>107</v>
      </c>
      <c r="D68" s="1">
        <v>253.28</v>
      </c>
      <c r="E68" s="1">
        <v>0.9</v>
      </c>
      <c r="F68" s="1">
        <v>1.5549999999999999</v>
      </c>
      <c r="G68" s="1">
        <v>1.9550000000000001</v>
      </c>
      <c r="H68" s="1">
        <v>0.88</v>
      </c>
      <c r="I68" s="1">
        <v>0.95</v>
      </c>
      <c r="J68" s="1">
        <v>1.59</v>
      </c>
      <c r="K68" s="1" t="s">
        <v>57</v>
      </c>
      <c r="M68" s="1">
        <v>25</v>
      </c>
      <c r="Q68" s="1">
        <v>8.8000000000000007</v>
      </c>
      <c r="R68" s="1" t="s">
        <v>58</v>
      </c>
      <c r="S68" s="1">
        <v>307.27999999999997</v>
      </c>
      <c r="T68" s="1">
        <v>377</v>
      </c>
      <c r="U68" s="1">
        <v>1.82</v>
      </c>
      <c r="V68" s="1">
        <v>9.4</v>
      </c>
      <c r="W68" s="1">
        <v>5.0000000000000001E-3</v>
      </c>
      <c r="X68" s="1">
        <f t="shared" ref="X68:X131" si="11">W68*1000</f>
        <v>5</v>
      </c>
      <c r="Y68" s="1">
        <v>0.1</v>
      </c>
      <c r="Z68" s="1">
        <v>5.0000000000000001E-3</v>
      </c>
      <c r="AA68" s="1">
        <v>15.575342465753399</v>
      </c>
      <c r="AB68" s="1">
        <v>11</v>
      </c>
      <c r="AC68" s="1">
        <v>25</v>
      </c>
      <c r="AH68" s="1">
        <v>0.35054794520548005</v>
      </c>
      <c r="AJ68" s="1">
        <f t="shared" si="2"/>
        <v>0.64945205479451995</v>
      </c>
      <c r="AK68" s="1">
        <f t="shared" si="1"/>
        <v>-0.43162626423436506</v>
      </c>
      <c r="AM68">
        <v>9</v>
      </c>
      <c r="AN68">
        <f>IF(ISNUMBER(AJ68),IF(AJ68&gt;=0.05,1,0),"")</f>
        <v>1</v>
      </c>
      <c r="AO68">
        <f>IF(ISNUMBER(AJ68),IF(AJ68&lt;0.005,1,0),"")</f>
        <v>0</v>
      </c>
      <c r="AQ68" s="34"/>
      <c r="AR68" s="35"/>
      <c r="AS68" s="36"/>
    </row>
    <row r="69" spans="1:45" ht="57" x14ac:dyDescent="0.45">
      <c r="A69" s="1" t="s">
        <v>59</v>
      </c>
      <c r="B69" s="1" t="s">
        <v>56</v>
      </c>
      <c r="C69" s="1">
        <v>107</v>
      </c>
      <c r="D69" s="1">
        <v>253.28</v>
      </c>
      <c r="E69" s="1">
        <v>0.9</v>
      </c>
      <c r="F69" s="1">
        <v>1.5549999999999999</v>
      </c>
      <c r="G69" s="1">
        <v>1.9550000000000001</v>
      </c>
      <c r="H69" s="1">
        <v>0.88</v>
      </c>
      <c r="I69" s="1">
        <v>0.95</v>
      </c>
      <c r="J69" s="1">
        <v>1.59</v>
      </c>
      <c r="K69" s="1" t="s">
        <v>57</v>
      </c>
      <c r="M69" s="1">
        <v>25</v>
      </c>
      <c r="Q69" s="1">
        <v>8.8000000000000007</v>
      </c>
      <c r="R69" s="1" t="s">
        <v>58</v>
      </c>
      <c r="S69" s="1">
        <v>307.27999999999997</v>
      </c>
      <c r="T69" s="1">
        <v>377</v>
      </c>
      <c r="U69" s="1">
        <v>1.82</v>
      </c>
      <c r="V69" s="1">
        <v>9.4</v>
      </c>
      <c r="W69" s="1">
        <v>5.0000000000000001E-3</v>
      </c>
      <c r="X69" s="1">
        <f t="shared" si="11"/>
        <v>5</v>
      </c>
      <c r="Y69" s="1">
        <v>0.1</v>
      </c>
      <c r="Z69" s="1">
        <v>5.0000000000000001E-3</v>
      </c>
      <c r="AA69" s="1">
        <v>20.7739726027397</v>
      </c>
      <c r="AB69" s="1">
        <v>11</v>
      </c>
      <c r="AC69" s="1">
        <v>25</v>
      </c>
      <c r="AH69" s="1">
        <v>0.42301369863013705</v>
      </c>
      <c r="AJ69" s="1">
        <f t="shared" si="2"/>
        <v>0.57698630136986295</v>
      </c>
      <c r="AK69" s="1">
        <f t="shared" si="1"/>
        <v>-0.54993675388261654</v>
      </c>
      <c r="AM69">
        <v>9</v>
      </c>
      <c r="AN69">
        <f>IF(ISNUMBER(AJ69),IF(AJ69&gt;=0.05,1,0),"")</f>
        <v>1</v>
      </c>
      <c r="AO69">
        <f>IF(ISNUMBER(AJ69),IF(AJ69&lt;0.005,1,0),"")</f>
        <v>0</v>
      </c>
      <c r="AQ69" s="34"/>
      <c r="AR69" s="35"/>
      <c r="AS69" s="36"/>
    </row>
    <row r="70" spans="1:45" ht="57" x14ac:dyDescent="0.45">
      <c r="A70" s="1" t="s">
        <v>59</v>
      </c>
      <c r="B70" s="1" t="s">
        <v>56</v>
      </c>
      <c r="C70" s="1">
        <v>107</v>
      </c>
      <c r="D70" s="1">
        <v>253.28</v>
      </c>
      <c r="E70" s="1">
        <v>0.9</v>
      </c>
      <c r="F70" s="1">
        <v>1.5549999999999999</v>
      </c>
      <c r="G70" s="1">
        <v>1.9550000000000001</v>
      </c>
      <c r="H70" s="1">
        <v>0.88</v>
      </c>
      <c r="I70" s="1">
        <v>0.95</v>
      </c>
      <c r="J70" s="1">
        <v>1.59</v>
      </c>
      <c r="K70" s="1" t="s">
        <v>57</v>
      </c>
      <c r="M70" s="1">
        <v>25</v>
      </c>
      <c r="Q70" s="1">
        <v>8.8000000000000007</v>
      </c>
      <c r="R70" s="1" t="s">
        <v>58</v>
      </c>
      <c r="S70" s="1">
        <v>307.27999999999997</v>
      </c>
      <c r="T70" s="1">
        <v>377</v>
      </c>
      <c r="U70" s="1">
        <v>1.82</v>
      </c>
      <c r="V70" s="1">
        <v>9.4</v>
      </c>
      <c r="W70" s="1">
        <v>5.0000000000000001E-3</v>
      </c>
      <c r="X70" s="1">
        <f t="shared" si="11"/>
        <v>5</v>
      </c>
      <c r="Y70" s="1">
        <v>0.1</v>
      </c>
      <c r="Z70" s="1">
        <v>5.0000000000000001E-3</v>
      </c>
      <c r="AA70" s="1">
        <v>31.25</v>
      </c>
      <c r="AB70" s="1">
        <v>11</v>
      </c>
      <c r="AC70" s="1">
        <v>25</v>
      </c>
      <c r="AH70" s="1">
        <v>0.51753424657534297</v>
      </c>
      <c r="AJ70" s="1">
        <f t="shared" si="2"/>
        <v>0.48246575342465703</v>
      </c>
      <c r="AK70" s="1">
        <f t="shared" si="1"/>
        <v>-0.72884533808033214</v>
      </c>
      <c r="AM70">
        <v>9</v>
      </c>
      <c r="AN70">
        <f>IF(ISNUMBER(AJ70),IF(AJ70&gt;=0.05,1,0),"")</f>
        <v>1</v>
      </c>
      <c r="AO70">
        <f>IF(ISNUMBER(AJ70),IF(AJ70&lt;0.005,1,0),"")</f>
        <v>0</v>
      </c>
      <c r="AQ70" s="34"/>
      <c r="AR70" s="35"/>
      <c r="AS70" s="36"/>
    </row>
    <row r="71" spans="1:45" ht="57" x14ac:dyDescent="0.45">
      <c r="A71" s="1" t="s">
        <v>59</v>
      </c>
      <c r="B71" s="1" t="s">
        <v>56</v>
      </c>
      <c r="C71" s="1">
        <v>107</v>
      </c>
      <c r="D71" s="1">
        <v>253.28</v>
      </c>
      <c r="E71" s="1">
        <v>0.9</v>
      </c>
      <c r="F71" s="1">
        <v>1.5549999999999999</v>
      </c>
      <c r="G71" s="1">
        <v>1.9550000000000001</v>
      </c>
      <c r="H71" s="1">
        <v>0.88</v>
      </c>
      <c r="I71" s="1">
        <v>0.95</v>
      </c>
      <c r="J71" s="1">
        <v>1.59</v>
      </c>
      <c r="K71" s="1" t="s">
        <v>57</v>
      </c>
      <c r="M71" s="1">
        <v>25</v>
      </c>
      <c r="Q71" s="1">
        <v>8.8000000000000007</v>
      </c>
      <c r="R71" s="1" t="s">
        <v>58</v>
      </c>
      <c r="S71" s="1">
        <v>307.27999999999997</v>
      </c>
      <c r="T71" s="1">
        <v>377</v>
      </c>
      <c r="U71" s="1">
        <v>1.82</v>
      </c>
      <c r="V71" s="1">
        <v>9.4</v>
      </c>
      <c r="W71" s="1">
        <v>0.01</v>
      </c>
      <c r="X71" s="1">
        <f t="shared" si="11"/>
        <v>10</v>
      </c>
      <c r="Y71" s="1">
        <v>0.1</v>
      </c>
      <c r="Z71" s="1">
        <v>5.0000000000000001E-3</v>
      </c>
      <c r="AA71" s="1">
        <v>1.0821917808219299</v>
      </c>
      <c r="AB71" s="1">
        <v>11</v>
      </c>
      <c r="AC71" s="1">
        <v>25</v>
      </c>
      <c r="AH71" s="1">
        <v>0.14890410958904199</v>
      </c>
      <c r="AI71" s="1">
        <f>-AK78/AA78</f>
        <v>0.14855571586861541</v>
      </c>
      <c r="AJ71" s="1">
        <f t="shared" ref="AJ71" si="12">1-AH71</f>
        <v>0.85109589041095801</v>
      </c>
      <c r="AK71" s="1">
        <f t="shared" si="1"/>
        <v>-0.1612304770727897</v>
      </c>
      <c r="AL71" s="1">
        <v>0.14854023109276601</v>
      </c>
      <c r="AM71">
        <v>10</v>
      </c>
      <c r="AN71">
        <f>IF(ISNUMBER(AJ71),IF(AJ71&gt;=0.05,1,0),"")</f>
        <v>1</v>
      </c>
      <c r="AO71">
        <f>IF(ISNUMBER(AJ71),IF(AJ71&lt;0.005,1,0),"")</f>
        <v>0</v>
      </c>
      <c r="AP71">
        <f>IFERROR(MATCH(0,AN71:AN78,0)-1,8)</f>
        <v>7</v>
      </c>
      <c r="AQ71" s="34">
        <f>IF(AP71&lt;3,"n&lt;3",IFERROR(-SLOPE(AK71:INDEX(AK71:AK78,AP71),AA71:INDEX(AA71:AA78,AP71)),"no fit"))</f>
        <v>0.1365949377010055</v>
      </c>
      <c r="AR71" s="35">
        <f>IF(AP71&lt;3,"",IFERROR(RSQ(AK71:INDEX(AK71:AK78,AP71),AA71:INDEX(AA71:AA78,AP71)),"flat"))</f>
        <v>0.99618057731074683</v>
      </c>
      <c r="AS71" s="36">
        <f>IFERROR(AQ71/AI71,"")</f>
        <v>0.91948624731351181</v>
      </c>
    </row>
    <row r="72" spans="1:45" ht="57" x14ac:dyDescent="0.45">
      <c r="A72" s="1" t="s">
        <v>59</v>
      </c>
      <c r="B72" s="1" t="s">
        <v>56</v>
      </c>
      <c r="C72" s="1">
        <v>107</v>
      </c>
      <c r="D72" s="1">
        <v>253.28</v>
      </c>
      <c r="E72" s="1">
        <v>0.9</v>
      </c>
      <c r="F72" s="1">
        <v>1.5549999999999999</v>
      </c>
      <c r="G72" s="1">
        <v>1.9550000000000001</v>
      </c>
      <c r="H72" s="1">
        <v>0.88</v>
      </c>
      <c r="I72" s="1">
        <v>0.95</v>
      </c>
      <c r="J72" s="1">
        <v>1.59</v>
      </c>
      <c r="K72" s="1" t="s">
        <v>57</v>
      </c>
      <c r="M72" s="1">
        <v>25</v>
      </c>
      <c r="Q72" s="1">
        <v>8.8000000000000007</v>
      </c>
      <c r="R72" s="1" t="s">
        <v>58</v>
      </c>
      <c r="S72" s="1">
        <v>307.27999999999997</v>
      </c>
      <c r="T72" s="1">
        <v>377</v>
      </c>
      <c r="U72" s="1">
        <v>1.82</v>
      </c>
      <c r="V72" s="1">
        <v>9.4</v>
      </c>
      <c r="W72" s="1">
        <v>0.01</v>
      </c>
      <c r="X72" s="1">
        <f t="shared" si="11"/>
        <v>10</v>
      </c>
      <c r="Y72" s="1">
        <v>0.1</v>
      </c>
      <c r="Z72" s="1">
        <v>5.0000000000000001E-3</v>
      </c>
      <c r="AA72" s="1">
        <v>1.0821917808219299</v>
      </c>
      <c r="AB72" s="1">
        <v>11</v>
      </c>
      <c r="AC72" s="1">
        <v>25</v>
      </c>
      <c r="AH72" s="1">
        <v>0.14890410958904199</v>
      </c>
      <c r="AJ72" s="1">
        <f t="shared" si="2"/>
        <v>0.85109589041095801</v>
      </c>
      <c r="AK72" s="1">
        <f t="shared" si="1"/>
        <v>-0.1612304770727897</v>
      </c>
      <c r="AM72">
        <v>10</v>
      </c>
      <c r="AN72">
        <f>IF(ISNUMBER(AJ72),IF(AJ72&gt;=0.05,1,0),"")</f>
        <v>1</v>
      </c>
      <c r="AO72">
        <f>IF(ISNUMBER(AJ72),IF(AJ72&lt;0.005,1,0),"")</f>
        <v>0</v>
      </c>
      <c r="AQ72" s="34"/>
      <c r="AR72" s="35"/>
      <c r="AS72" s="36"/>
    </row>
    <row r="73" spans="1:45" ht="57" x14ac:dyDescent="0.45">
      <c r="A73" s="1" t="s">
        <v>59</v>
      </c>
      <c r="B73" s="1" t="s">
        <v>56</v>
      </c>
      <c r="C73" s="1">
        <v>107</v>
      </c>
      <c r="D73" s="1">
        <v>253.28</v>
      </c>
      <c r="E73" s="1">
        <v>0.9</v>
      </c>
      <c r="F73" s="1">
        <v>1.5549999999999999</v>
      </c>
      <c r="G73" s="1">
        <v>1.9550000000000001</v>
      </c>
      <c r="H73" s="1">
        <v>0.88</v>
      </c>
      <c r="I73" s="1">
        <v>0.95</v>
      </c>
      <c r="J73" s="1">
        <v>1.59</v>
      </c>
      <c r="K73" s="1" t="s">
        <v>57</v>
      </c>
      <c r="M73" s="1">
        <v>25</v>
      </c>
      <c r="Q73" s="1">
        <v>8.8000000000000007</v>
      </c>
      <c r="R73" s="1" t="s">
        <v>58</v>
      </c>
      <c r="S73" s="1">
        <v>307.27999999999997</v>
      </c>
      <c r="T73" s="1">
        <v>377</v>
      </c>
      <c r="U73" s="1">
        <v>1.82</v>
      </c>
      <c r="V73" s="1">
        <v>9.4</v>
      </c>
      <c r="W73" s="1">
        <v>0.01</v>
      </c>
      <c r="X73" s="1">
        <f t="shared" si="11"/>
        <v>10</v>
      </c>
      <c r="Y73" s="1">
        <v>0.1</v>
      </c>
      <c r="Z73" s="1">
        <v>5.0000000000000001E-3</v>
      </c>
      <c r="AA73" s="1">
        <v>2.9726027397260402</v>
      </c>
      <c r="AB73" s="1">
        <v>11</v>
      </c>
      <c r="AC73" s="1">
        <v>25</v>
      </c>
      <c r="AH73" s="1">
        <v>0.341095890410959</v>
      </c>
      <c r="AJ73" s="1">
        <f t="shared" si="2"/>
        <v>0.658904109589041</v>
      </c>
      <c r="AK73" s="1">
        <f t="shared" si="1"/>
        <v>-0.41717726403667577</v>
      </c>
      <c r="AM73">
        <v>10</v>
      </c>
      <c r="AN73">
        <f>IF(ISNUMBER(AJ73),IF(AJ73&gt;=0.05,1,0),"")</f>
        <v>1</v>
      </c>
      <c r="AO73">
        <f>IF(ISNUMBER(AJ73),IF(AJ73&lt;0.005,1,0),"")</f>
        <v>0</v>
      </c>
      <c r="AQ73" s="34"/>
      <c r="AR73" s="35"/>
      <c r="AS73" s="36"/>
    </row>
    <row r="74" spans="1:45" ht="57" x14ac:dyDescent="0.45">
      <c r="A74" s="1" t="s">
        <v>59</v>
      </c>
      <c r="B74" s="1" t="s">
        <v>56</v>
      </c>
      <c r="C74" s="1">
        <v>107</v>
      </c>
      <c r="D74" s="1">
        <v>253.28</v>
      </c>
      <c r="E74" s="1">
        <v>0.9</v>
      </c>
      <c r="F74" s="1">
        <v>1.5549999999999999</v>
      </c>
      <c r="G74" s="1">
        <v>1.9550000000000001</v>
      </c>
      <c r="H74" s="1">
        <v>0.88</v>
      </c>
      <c r="I74" s="1">
        <v>0.95</v>
      </c>
      <c r="J74" s="1">
        <v>1.59</v>
      </c>
      <c r="K74" s="1" t="s">
        <v>57</v>
      </c>
      <c r="M74" s="1">
        <v>25</v>
      </c>
      <c r="Q74" s="1">
        <v>8.8000000000000007</v>
      </c>
      <c r="R74" s="1" t="s">
        <v>58</v>
      </c>
      <c r="S74" s="1">
        <v>307.27999999999997</v>
      </c>
      <c r="T74" s="1">
        <v>377</v>
      </c>
      <c r="U74" s="1">
        <v>1.82</v>
      </c>
      <c r="V74" s="1">
        <v>9.4</v>
      </c>
      <c r="W74" s="1">
        <v>0.01</v>
      </c>
      <c r="X74" s="1">
        <f t="shared" si="11"/>
        <v>10</v>
      </c>
      <c r="Y74" s="1">
        <v>0.1</v>
      </c>
      <c r="Z74" s="1">
        <v>5.0000000000000001E-3</v>
      </c>
      <c r="AA74" s="1">
        <v>5.2568493150685196</v>
      </c>
      <c r="AB74" s="1">
        <v>11</v>
      </c>
      <c r="AC74" s="1">
        <v>25</v>
      </c>
      <c r="AH74" s="1">
        <v>0.50808219178082203</v>
      </c>
      <c r="AJ74" s="1">
        <f t="shared" si="2"/>
        <v>0.49191780821917797</v>
      </c>
      <c r="AK74" s="1">
        <f t="shared" si="1"/>
        <v>-0.70944363291039991</v>
      </c>
      <c r="AM74">
        <v>10</v>
      </c>
      <c r="AN74">
        <f>IF(ISNUMBER(AJ74),IF(AJ74&gt;=0.05,1,0),"")</f>
        <v>1</v>
      </c>
      <c r="AO74">
        <f>IF(ISNUMBER(AJ74),IF(AJ74&lt;0.005,1,0),"")</f>
        <v>0</v>
      </c>
      <c r="AQ74" s="34"/>
      <c r="AR74" s="35"/>
      <c r="AS74" s="36"/>
    </row>
    <row r="75" spans="1:45" ht="57" x14ac:dyDescent="0.45">
      <c r="A75" s="1" t="s">
        <v>59</v>
      </c>
      <c r="B75" s="1" t="s">
        <v>56</v>
      </c>
      <c r="C75" s="1">
        <v>107</v>
      </c>
      <c r="D75" s="1">
        <v>253.28</v>
      </c>
      <c r="E75" s="1">
        <v>0.9</v>
      </c>
      <c r="F75" s="1">
        <v>1.5549999999999999</v>
      </c>
      <c r="G75" s="1">
        <v>1.9550000000000001</v>
      </c>
      <c r="H75" s="1">
        <v>0.88</v>
      </c>
      <c r="I75" s="1">
        <v>0.95</v>
      </c>
      <c r="J75" s="1">
        <v>1.59</v>
      </c>
      <c r="K75" s="1" t="s">
        <v>57</v>
      </c>
      <c r="M75" s="1">
        <v>25</v>
      </c>
      <c r="Q75" s="1">
        <v>8.8000000000000007</v>
      </c>
      <c r="R75" s="1" t="s">
        <v>58</v>
      </c>
      <c r="S75" s="1">
        <v>307.27999999999997</v>
      </c>
      <c r="T75" s="1">
        <v>377</v>
      </c>
      <c r="U75" s="1">
        <v>1.82</v>
      </c>
      <c r="V75" s="1">
        <v>9.4</v>
      </c>
      <c r="W75" s="1">
        <v>0.01</v>
      </c>
      <c r="X75" s="1">
        <f t="shared" si="11"/>
        <v>10</v>
      </c>
      <c r="Y75" s="1">
        <v>0.1</v>
      </c>
      <c r="Z75" s="1">
        <v>5.0000000000000001E-3</v>
      </c>
      <c r="AA75" s="1">
        <v>10.455479452054799</v>
      </c>
      <c r="AB75" s="1">
        <v>11</v>
      </c>
      <c r="AC75" s="1">
        <v>25</v>
      </c>
      <c r="AH75" s="1">
        <v>0.73178082191780902</v>
      </c>
      <c r="AJ75" s="1">
        <f t="shared" si="2"/>
        <v>0.26821917808219098</v>
      </c>
      <c r="AK75" s="1">
        <f t="shared" si="1"/>
        <v>-1.3159508040460297</v>
      </c>
      <c r="AM75">
        <v>10</v>
      </c>
      <c r="AN75">
        <f>IF(ISNUMBER(AJ75),IF(AJ75&gt;=0.05,1,0),"")</f>
        <v>1</v>
      </c>
      <c r="AO75">
        <f>IF(ISNUMBER(AJ75),IF(AJ75&lt;0.005,1,0),"")</f>
        <v>0</v>
      </c>
      <c r="AQ75" s="34"/>
      <c r="AR75" s="35"/>
      <c r="AS75" s="36"/>
    </row>
    <row r="76" spans="1:45" ht="57" x14ac:dyDescent="0.45">
      <c r="A76" s="1" t="s">
        <v>59</v>
      </c>
      <c r="B76" s="1" t="s">
        <v>56</v>
      </c>
      <c r="C76" s="1">
        <v>107</v>
      </c>
      <c r="D76" s="1">
        <v>253.28</v>
      </c>
      <c r="E76" s="1">
        <v>0.9</v>
      </c>
      <c r="F76" s="1">
        <v>1.5549999999999999</v>
      </c>
      <c r="G76" s="1">
        <v>1.9550000000000001</v>
      </c>
      <c r="H76" s="1">
        <v>0.88</v>
      </c>
      <c r="I76" s="1">
        <v>0.95</v>
      </c>
      <c r="J76" s="1">
        <v>1.59</v>
      </c>
      <c r="K76" s="1" t="s">
        <v>57</v>
      </c>
      <c r="M76" s="1">
        <v>25</v>
      </c>
      <c r="Q76" s="1">
        <v>8.8000000000000007</v>
      </c>
      <c r="R76" s="1" t="s">
        <v>58</v>
      </c>
      <c r="S76" s="1">
        <v>307.27999999999997</v>
      </c>
      <c r="T76" s="1">
        <v>377</v>
      </c>
      <c r="U76" s="1">
        <v>1.82</v>
      </c>
      <c r="V76" s="1">
        <v>9.4</v>
      </c>
      <c r="W76" s="1">
        <v>0.01</v>
      </c>
      <c r="X76" s="1">
        <f t="shared" si="11"/>
        <v>10</v>
      </c>
      <c r="Y76" s="1">
        <v>0.1</v>
      </c>
      <c r="Z76" s="1">
        <v>5.0000000000000001E-3</v>
      </c>
      <c r="AA76" s="1">
        <v>15.181506849314999</v>
      </c>
      <c r="AB76" s="1">
        <v>11</v>
      </c>
      <c r="AC76" s="1">
        <v>25</v>
      </c>
      <c r="AH76" s="1">
        <v>0.86410958904109603</v>
      </c>
      <c r="AJ76" s="1">
        <f t="shared" si="2"/>
        <v>0.13589041095890397</v>
      </c>
      <c r="AK76" s="1">
        <f t="shared" si="1"/>
        <v>-1.9959065198516106</v>
      </c>
      <c r="AM76">
        <v>10</v>
      </c>
      <c r="AN76">
        <f>IF(ISNUMBER(AJ76),IF(AJ76&gt;=0.05,1,0),"")</f>
        <v>1</v>
      </c>
      <c r="AO76">
        <f>IF(ISNUMBER(AJ76),IF(AJ76&lt;0.005,1,0),"")</f>
        <v>0</v>
      </c>
      <c r="AQ76" s="34"/>
      <c r="AR76" s="35"/>
      <c r="AS76" s="36"/>
    </row>
    <row r="77" spans="1:45" ht="57" x14ac:dyDescent="0.45">
      <c r="A77" s="1" t="s">
        <v>59</v>
      </c>
      <c r="B77" s="1" t="s">
        <v>56</v>
      </c>
      <c r="C77" s="1">
        <v>107</v>
      </c>
      <c r="D77" s="1">
        <v>253.28</v>
      </c>
      <c r="E77" s="1">
        <v>0.9</v>
      </c>
      <c r="F77" s="1">
        <v>1.5549999999999999</v>
      </c>
      <c r="G77" s="1">
        <v>1.9550000000000001</v>
      </c>
      <c r="H77" s="1">
        <v>0.88</v>
      </c>
      <c r="I77" s="1">
        <v>0.95</v>
      </c>
      <c r="J77" s="1">
        <v>1.59</v>
      </c>
      <c r="K77" s="1" t="s">
        <v>57</v>
      </c>
      <c r="M77" s="1">
        <v>25</v>
      </c>
      <c r="Q77" s="1">
        <v>8.8000000000000007</v>
      </c>
      <c r="R77" s="1" t="s">
        <v>58</v>
      </c>
      <c r="S77" s="1">
        <v>307.27999999999997</v>
      </c>
      <c r="T77" s="1">
        <v>377</v>
      </c>
      <c r="U77" s="1">
        <v>1.82</v>
      </c>
      <c r="V77" s="1">
        <v>9.4</v>
      </c>
      <c r="W77" s="1">
        <v>0.01</v>
      </c>
      <c r="X77" s="1">
        <f t="shared" si="11"/>
        <v>10</v>
      </c>
      <c r="Y77" s="1">
        <v>0.1</v>
      </c>
      <c r="Z77" s="1">
        <v>5.0000000000000001E-3</v>
      </c>
      <c r="AA77" s="1">
        <v>20.7739726027397</v>
      </c>
      <c r="AB77" s="1">
        <v>11</v>
      </c>
      <c r="AC77" s="1">
        <v>25</v>
      </c>
      <c r="AH77" s="1">
        <v>0.94602739726027385</v>
      </c>
      <c r="AJ77" s="1">
        <f t="shared" si="2"/>
        <v>5.397260273972615E-2</v>
      </c>
      <c r="AK77" s="1">
        <f t="shared" si="1"/>
        <v>-2.9192787178385462</v>
      </c>
      <c r="AM77">
        <v>10</v>
      </c>
      <c r="AN77">
        <f>IF(ISNUMBER(AJ77),IF(AJ77&gt;=0.05,1,0),"")</f>
        <v>1</v>
      </c>
      <c r="AO77">
        <f>IF(ISNUMBER(AJ77),IF(AJ77&lt;0.005,1,0),"")</f>
        <v>0</v>
      </c>
      <c r="AQ77" s="34"/>
      <c r="AR77" s="35"/>
      <c r="AS77" s="36"/>
    </row>
    <row r="78" spans="1:45" ht="57" x14ac:dyDescent="0.45">
      <c r="A78" s="1" t="s">
        <v>59</v>
      </c>
      <c r="B78" s="1" t="s">
        <v>56</v>
      </c>
      <c r="C78" s="1">
        <v>107</v>
      </c>
      <c r="D78" s="1">
        <v>253.28</v>
      </c>
      <c r="E78" s="1">
        <v>0.9</v>
      </c>
      <c r="F78" s="1">
        <v>1.5549999999999999</v>
      </c>
      <c r="G78" s="1">
        <v>1.9550000000000001</v>
      </c>
      <c r="H78" s="1">
        <v>0.88</v>
      </c>
      <c r="I78" s="1">
        <v>0.95</v>
      </c>
      <c r="J78" s="1">
        <v>1.59</v>
      </c>
      <c r="K78" s="1" t="s">
        <v>57</v>
      </c>
      <c r="M78" s="1">
        <v>25</v>
      </c>
      <c r="Q78" s="1">
        <v>8.8000000000000007</v>
      </c>
      <c r="R78" s="1" t="s">
        <v>58</v>
      </c>
      <c r="S78" s="1">
        <v>307.27999999999997</v>
      </c>
      <c r="T78" s="1">
        <v>377</v>
      </c>
      <c r="U78" s="1">
        <v>1.82</v>
      </c>
      <c r="V78" s="1">
        <v>9.4</v>
      </c>
      <c r="W78" s="1">
        <v>0.01</v>
      </c>
      <c r="X78" s="1">
        <f t="shared" si="11"/>
        <v>10</v>
      </c>
      <c r="Y78" s="1">
        <v>0.1</v>
      </c>
      <c r="Z78" s="1">
        <v>5.0000000000000001E-3</v>
      </c>
      <c r="AA78" s="1">
        <v>31.092465753424602</v>
      </c>
      <c r="AB78" s="1">
        <v>11</v>
      </c>
      <c r="AC78" s="1">
        <v>25</v>
      </c>
      <c r="AH78" s="1">
        <v>0.99013698630136959</v>
      </c>
      <c r="AJ78" s="1">
        <f t="shared" si="2"/>
        <v>9.8630136986304073E-3</v>
      </c>
      <c r="AK78" s="1">
        <f t="shared" ref="AK78:AK150" si="13">LN(AJ78)</f>
        <v>-4.6189635081203999</v>
      </c>
      <c r="AM78">
        <v>10</v>
      </c>
      <c r="AN78">
        <f>IF(ISNUMBER(AJ78),IF(AJ78&gt;=0.05,1,0),"")</f>
        <v>0</v>
      </c>
      <c r="AO78">
        <f>IF(ISNUMBER(AJ78),IF(AJ78&lt;0.005,1,0),"")</f>
        <v>0</v>
      </c>
      <c r="AQ78" s="34"/>
      <c r="AR78" s="35"/>
      <c r="AS78" s="36"/>
    </row>
    <row r="79" spans="1:45" ht="57" x14ac:dyDescent="0.45">
      <c r="A79" s="1" t="s">
        <v>59</v>
      </c>
      <c r="B79" s="1" t="s">
        <v>56</v>
      </c>
      <c r="C79" s="1">
        <v>107</v>
      </c>
      <c r="D79" s="1">
        <v>253.28</v>
      </c>
      <c r="E79" s="1">
        <v>0.9</v>
      </c>
      <c r="F79" s="1">
        <v>1.5549999999999999</v>
      </c>
      <c r="G79" s="1">
        <v>1.9550000000000001</v>
      </c>
      <c r="H79" s="1">
        <v>0.88</v>
      </c>
      <c r="I79" s="1">
        <v>0.95</v>
      </c>
      <c r="J79" s="1">
        <v>1.59</v>
      </c>
      <c r="K79" s="1" t="s">
        <v>57</v>
      </c>
      <c r="M79" s="1">
        <v>25</v>
      </c>
      <c r="Q79" s="1">
        <v>8.8000000000000007</v>
      </c>
      <c r="R79" s="1" t="s">
        <v>58</v>
      </c>
      <c r="S79" s="1">
        <v>307.27999999999997</v>
      </c>
      <c r="T79" s="1">
        <v>377</v>
      </c>
      <c r="U79" s="1">
        <v>1.82</v>
      </c>
      <c r="V79" s="1">
        <v>9.4</v>
      </c>
      <c r="W79" s="1">
        <v>2.5000000000000001E-2</v>
      </c>
      <c r="X79" s="1">
        <f t="shared" si="11"/>
        <v>25</v>
      </c>
      <c r="Y79" s="1">
        <v>0.1</v>
      </c>
      <c r="Z79" s="1">
        <v>5.0000000000000001E-3</v>
      </c>
      <c r="AA79" s="1">
        <v>0</v>
      </c>
      <c r="AB79" s="1">
        <v>11</v>
      </c>
      <c r="AC79" s="1">
        <v>25</v>
      </c>
      <c r="AH79" s="1">
        <v>0</v>
      </c>
      <c r="AI79" s="1">
        <f>-AK86/AA86</f>
        <v>0.39257332442922177</v>
      </c>
      <c r="AJ79" s="1">
        <f t="shared" ref="AJ79" si="14">1-AH79</f>
        <v>1</v>
      </c>
      <c r="AK79" s="1">
        <f t="shared" si="13"/>
        <v>0</v>
      </c>
      <c r="AL79" s="1">
        <v>0.39115846998423798</v>
      </c>
      <c r="AM79">
        <v>11</v>
      </c>
      <c r="AN79">
        <f>IF(ISNUMBER(AJ79),IF(AJ79&gt;=0.05,1,0),"")</f>
        <v>1</v>
      </c>
      <c r="AO79">
        <f>IF(ISNUMBER(AJ79),IF(AJ79&lt;0.005,1,0),"")</f>
        <v>0</v>
      </c>
      <c r="AP79">
        <f>IFERROR(MATCH(0,AN79:AN86,0)-1,8)</f>
        <v>4</v>
      </c>
      <c r="AQ79" s="34">
        <f>IF(AP79&lt;3,"n&lt;3",IFERROR(-SLOPE(AK79:INDEX(AK79:AK86,AP79),AA79:INDEX(AA79:AA86,AP79)),"no fit"))</f>
        <v>0.31724756707789625</v>
      </c>
      <c r="AR79" s="35">
        <f>IF(AP79&lt;3,"",IFERROR(RSQ(AK79:INDEX(AK79:AK86,AP79),AA79:INDEX(AA79:AA86,AP79)),"flat"))</f>
        <v>0.99141919855809568</v>
      </c>
      <c r="AS79" s="36">
        <f>IFERROR(AQ79/AI79,"")</f>
        <v>0.80812308767834728</v>
      </c>
    </row>
    <row r="80" spans="1:45" ht="57" x14ac:dyDescent="0.45">
      <c r="A80" s="1" t="s">
        <v>59</v>
      </c>
      <c r="B80" s="1" t="s">
        <v>56</v>
      </c>
      <c r="C80" s="1">
        <v>107</v>
      </c>
      <c r="D80" s="1">
        <v>253.28</v>
      </c>
      <c r="E80" s="1">
        <v>0.9</v>
      </c>
      <c r="F80" s="1">
        <v>1.5549999999999999</v>
      </c>
      <c r="G80" s="1">
        <v>1.9550000000000001</v>
      </c>
      <c r="H80" s="1">
        <v>0.88</v>
      </c>
      <c r="I80" s="1">
        <v>0.95</v>
      </c>
      <c r="J80" s="1">
        <v>1.59</v>
      </c>
      <c r="K80" s="1" t="s">
        <v>57</v>
      </c>
      <c r="M80" s="1">
        <v>25</v>
      </c>
      <c r="Q80" s="1">
        <v>8.8000000000000007</v>
      </c>
      <c r="R80" s="1" t="s">
        <v>58</v>
      </c>
      <c r="S80" s="1">
        <v>307.27999999999997</v>
      </c>
      <c r="T80" s="1">
        <v>377</v>
      </c>
      <c r="U80" s="1">
        <v>1.82</v>
      </c>
      <c r="V80" s="1">
        <v>9.4</v>
      </c>
      <c r="W80" s="1">
        <v>2.5000000000000001E-2</v>
      </c>
      <c r="X80" s="1">
        <f t="shared" si="11"/>
        <v>25</v>
      </c>
      <c r="Y80" s="1">
        <v>0.1</v>
      </c>
      <c r="Z80" s="1">
        <v>5.0000000000000001E-3</v>
      </c>
      <c r="AA80" s="1">
        <v>1.00342465753427</v>
      </c>
      <c r="AB80" s="1">
        <v>11</v>
      </c>
      <c r="AC80" s="1">
        <v>25</v>
      </c>
      <c r="AH80" s="1">
        <v>0.35369863013698699</v>
      </c>
      <c r="AJ80" s="1">
        <f t="shared" ref="AJ80:AJ152" si="15">1-AH80</f>
        <v>0.64630136986301301</v>
      </c>
      <c r="AK80" s="1">
        <f t="shared" si="13"/>
        <v>-0.43648936716886322</v>
      </c>
      <c r="AM80">
        <v>11</v>
      </c>
      <c r="AN80">
        <f>IF(ISNUMBER(AJ80),IF(AJ80&gt;=0.05,1,0),"")</f>
        <v>1</v>
      </c>
      <c r="AO80">
        <f>IF(ISNUMBER(AJ80),IF(AJ80&lt;0.005,1,0),"")</f>
        <v>0</v>
      </c>
      <c r="AQ80" s="34"/>
      <c r="AR80" s="35"/>
      <c r="AS80" s="36"/>
    </row>
    <row r="81" spans="1:45" ht="57" x14ac:dyDescent="0.45">
      <c r="A81" s="1" t="s">
        <v>59</v>
      </c>
      <c r="B81" s="1" t="s">
        <v>56</v>
      </c>
      <c r="C81" s="1">
        <v>107</v>
      </c>
      <c r="D81" s="1">
        <v>253.28</v>
      </c>
      <c r="E81" s="1">
        <v>0.9</v>
      </c>
      <c r="F81" s="1">
        <v>1.5549999999999999</v>
      </c>
      <c r="G81" s="1">
        <v>1.9550000000000001</v>
      </c>
      <c r="H81" s="1">
        <v>0.88</v>
      </c>
      <c r="I81" s="1">
        <v>0.95</v>
      </c>
      <c r="J81" s="1">
        <v>1.59</v>
      </c>
      <c r="K81" s="1" t="s">
        <v>57</v>
      </c>
      <c r="M81" s="1">
        <v>25</v>
      </c>
      <c r="Q81" s="1">
        <v>8.8000000000000007</v>
      </c>
      <c r="R81" s="1" t="s">
        <v>58</v>
      </c>
      <c r="S81" s="1">
        <v>307.27999999999997</v>
      </c>
      <c r="T81" s="1">
        <v>377</v>
      </c>
      <c r="U81" s="1">
        <v>1.82</v>
      </c>
      <c r="V81" s="1">
        <v>9.4</v>
      </c>
      <c r="W81" s="1">
        <v>2.5000000000000001E-2</v>
      </c>
      <c r="X81" s="1">
        <f t="shared" si="11"/>
        <v>25</v>
      </c>
      <c r="Y81" s="1">
        <v>0.1</v>
      </c>
      <c r="Z81" s="1">
        <v>5.0000000000000001E-3</v>
      </c>
      <c r="AA81" s="1">
        <v>2.9726027397260402</v>
      </c>
      <c r="AB81" s="1">
        <v>11</v>
      </c>
      <c r="AC81" s="1">
        <v>25</v>
      </c>
      <c r="AH81" s="1">
        <v>0.65931506849315102</v>
      </c>
      <c r="AJ81" s="1">
        <f t="shared" si="15"/>
        <v>0.34068493150684898</v>
      </c>
      <c r="AK81" s="1">
        <f t="shared" si="13"/>
        <v>-1.0767971833330787</v>
      </c>
      <c r="AM81">
        <v>11</v>
      </c>
      <c r="AN81">
        <f>IF(ISNUMBER(AJ81),IF(AJ81&gt;=0.05,1,0),"")</f>
        <v>1</v>
      </c>
      <c r="AO81">
        <f>IF(ISNUMBER(AJ81),IF(AJ81&lt;0.005,1,0),"")</f>
        <v>0</v>
      </c>
      <c r="AQ81" s="34"/>
      <c r="AR81" s="35"/>
      <c r="AS81" s="36"/>
    </row>
    <row r="82" spans="1:45" ht="57" x14ac:dyDescent="0.45">
      <c r="A82" s="1" t="s">
        <v>59</v>
      </c>
      <c r="B82" s="1" t="s">
        <v>56</v>
      </c>
      <c r="C82" s="1">
        <v>107</v>
      </c>
      <c r="D82" s="1">
        <v>253.28</v>
      </c>
      <c r="E82" s="1">
        <v>0.9</v>
      </c>
      <c r="F82" s="1">
        <v>1.5549999999999999</v>
      </c>
      <c r="G82" s="1">
        <v>1.9550000000000001</v>
      </c>
      <c r="H82" s="1">
        <v>0.88</v>
      </c>
      <c r="I82" s="1">
        <v>0.95</v>
      </c>
      <c r="J82" s="1">
        <v>1.59</v>
      </c>
      <c r="K82" s="1" t="s">
        <v>57</v>
      </c>
      <c r="M82" s="1">
        <v>25</v>
      </c>
      <c r="Q82" s="1">
        <v>8.8000000000000007</v>
      </c>
      <c r="R82" s="1" t="s">
        <v>58</v>
      </c>
      <c r="S82" s="1">
        <v>307.27999999999997</v>
      </c>
      <c r="T82" s="1">
        <v>377</v>
      </c>
      <c r="U82" s="1">
        <v>1.82</v>
      </c>
      <c r="V82" s="1">
        <v>9.4</v>
      </c>
      <c r="W82" s="1">
        <v>2.5000000000000001E-2</v>
      </c>
      <c r="X82" s="1">
        <f t="shared" si="11"/>
        <v>25</v>
      </c>
      <c r="Y82" s="1">
        <v>0.1</v>
      </c>
      <c r="Z82" s="1">
        <v>5.0000000000000001E-3</v>
      </c>
      <c r="AA82" s="1">
        <v>5.1780821917808399</v>
      </c>
      <c r="AB82" s="1">
        <v>11</v>
      </c>
      <c r="AC82" s="1">
        <v>25</v>
      </c>
      <c r="AH82" s="1">
        <v>0.81054794520548001</v>
      </c>
      <c r="AJ82" s="1">
        <f t="shared" si="15"/>
        <v>0.18945205479451999</v>
      </c>
      <c r="AK82" s="1">
        <f t="shared" si="13"/>
        <v>-1.6636192954717273</v>
      </c>
      <c r="AM82">
        <v>11</v>
      </c>
      <c r="AN82">
        <f>IF(ISNUMBER(AJ82),IF(AJ82&gt;=0.05,1,0),"")</f>
        <v>1</v>
      </c>
      <c r="AO82">
        <f>IF(ISNUMBER(AJ82),IF(AJ82&lt;0.005,1,0),"")</f>
        <v>0</v>
      </c>
      <c r="AQ82" s="34"/>
      <c r="AR82" s="35"/>
      <c r="AS82" s="36"/>
    </row>
    <row r="83" spans="1:45" ht="57" x14ac:dyDescent="0.45">
      <c r="A83" s="1" t="s">
        <v>59</v>
      </c>
      <c r="B83" s="1" t="s">
        <v>56</v>
      </c>
      <c r="C83" s="1">
        <v>107</v>
      </c>
      <c r="D83" s="1">
        <v>253.28</v>
      </c>
      <c r="E83" s="1">
        <v>0.9</v>
      </c>
      <c r="F83" s="1">
        <v>1.5549999999999999</v>
      </c>
      <c r="G83" s="1">
        <v>1.9550000000000001</v>
      </c>
      <c r="H83" s="1">
        <v>0.88</v>
      </c>
      <c r="I83" s="1">
        <v>0.95</v>
      </c>
      <c r="J83" s="1">
        <v>1.59</v>
      </c>
      <c r="K83" s="1" t="s">
        <v>57</v>
      </c>
      <c r="M83" s="1">
        <v>25</v>
      </c>
      <c r="Q83" s="1">
        <v>8.8000000000000007</v>
      </c>
      <c r="R83" s="1" t="s">
        <v>58</v>
      </c>
      <c r="S83" s="1">
        <v>307.27999999999997</v>
      </c>
      <c r="T83" s="1">
        <v>377</v>
      </c>
      <c r="U83" s="1">
        <v>1.82</v>
      </c>
      <c r="V83" s="1">
        <v>9.4</v>
      </c>
      <c r="W83" s="1">
        <v>2.5000000000000001E-2</v>
      </c>
      <c r="X83" s="1">
        <f t="shared" si="11"/>
        <v>25</v>
      </c>
      <c r="Y83" s="1">
        <v>0.1</v>
      </c>
      <c r="Z83" s="1">
        <v>5.0000000000000001E-3</v>
      </c>
      <c r="AA83" s="1">
        <v>10.1404109589041</v>
      </c>
      <c r="AB83" s="1">
        <v>11</v>
      </c>
      <c r="AC83" s="1">
        <v>25</v>
      </c>
      <c r="AH83" s="1">
        <v>0.97123287671232883</v>
      </c>
      <c r="AJ83" s="1">
        <f t="shared" si="15"/>
        <v>2.876712328767117E-2</v>
      </c>
      <c r="AK83" s="1">
        <f t="shared" si="13"/>
        <v>-3.5485220964190161</v>
      </c>
      <c r="AM83">
        <v>11</v>
      </c>
      <c r="AN83">
        <f>IF(ISNUMBER(AJ83),IF(AJ83&gt;=0.05,1,0),"")</f>
        <v>0</v>
      </c>
      <c r="AO83">
        <f>IF(ISNUMBER(AJ83),IF(AJ83&lt;0.005,1,0),"")</f>
        <v>0</v>
      </c>
      <c r="AQ83" s="34"/>
      <c r="AR83" s="35"/>
      <c r="AS83" s="36"/>
    </row>
    <row r="84" spans="1:45" ht="57" x14ac:dyDescent="0.45">
      <c r="A84" s="1" t="s">
        <v>59</v>
      </c>
      <c r="B84" s="1" t="s">
        <v>56</v>
      </c>
      <c r="C84" s="1">
        <v>107</v>
      </c>
      <c r="D84" s="1">
        <v>253.28</v>
      </c>
      <c r="E84" s="1">
        <v>0.9</v>
      </c>
      <c r="F84" s="1">
        <v>1.5549999999999999</v>
      </c>
      <c r="G84" s="1">
        <v>1.9550000000000001</v>
      </c>
      <c r="H84" s="1">
        <v>0.88</v>
      </c>
      <c r="I84" s="1">
        <v>0.95</v>
      </c>
      <c r="J84" s="1">
        <v>1.59</v>
      </c>
      <c r="K84" s="1" t="s">
        <v>57</v>
      </c>
      <c r="M84" s="1">
        <v>25</v>
      </c>
      <c r="Q84" s="1">
        <v>8.8000000000000007</v>
      </c>
      <c r="R84" s="1" t="s">
        <v>58</v>
      </c>
      <c r="S84" s="1">
        <v>307.27999999999997</v>
      </c>
      <c r="T84" s="1">
        <v>377</v>
      </c>
      <c r="U84" s="1">
        <v>1.82</v>
      </c>
      <c r="V84" s="1">
        <v>9.4</v>
      </c>
      <c r="W84" s="1">
        <v>2.5000000000000001E-2</v>
      </c>
      <c r="X84" s="1">
        <f t="shared" si="11"/>
        <v>25</v>
      </c>
      <c r="Y84" s="1">
        <v>0.1</v>
      </c>
      <c r="Z84" s="1">
        <v>5.0000000000000001E-3</v>
      </c>
      <c r="AA84" s="1">
        <v>15.575342465753399</v>
      </c>
      <c r="AB84" s="1">
        <v>11</v>
      </c>
      <c r="AC84" s="1">
        <v>25</v>
      </c>
      <c r="AH84" s="1">
        <v>0.99643835616438348</v>
      </c>
      <c r="AJ84" s="1">
        <f t="shared" si="15"/>
        <v>3.5616438356165236E-3</v>
      </c>
      <c r="AK84" s="1">
        <f t="shared" si="13"/>
        <v>-5.6375330891149762</v>
      </c>
      <c r="AM84">
        <v>11</v>
      </c>
      <c r="AN84">
        <f>IF(ISNUMBER(AJ84),IF(AJ84&gt;=0.05,1,0),"")</f>
        <v>0</v>
      </c>
      <c r="AO84">
        <f>IF(ISNUMBER(AJ84),IF(AJ84&lt;0.005,1,0),"")</f>
        <v>1</v>
      </c>
      <c r="AQ84" s="34"/>
      <c r="AR84" s="35"/>
      <c r="AS84" s="36"/>
    </row>
    <row r="85" spans="1:45" ht="57" x14ac:dyDescent="0.45">
      <c r="A85" s="1" t="s">
        <v>59</v>
      </c>
      <c r="B85" s="1" t="s">
        <v>56</v>
      </c>
      <c r="C85" s="1">
        <v>107</v>
      </c>
      <c r="D85" s="1">
        <v>253.28</v>
      </c>
      <c r="E85" s="1">
        <v>0.9</v>
      </c>
      <c r="F85" s="1">
        <v>1.5549999999999999</v>
      </c>
      <c r="G85" s="1">
        <v>1.9550000000000001</v>
      </c>
      <c r="H85" s="1">
        <v>0.88</v>
      </c>
      <c r="I85" s="1">
        <v>0.95</v>
      </c>
      <c r="J85" s="1">
        <v>1.59</v>
      </c>
      <c r="K85" s="1" t="s">
        <v>57</v>
      </c>
      <c r="M85" s="1">
        <v>25</v>
      </c>
      <c r="Q85" s="1">
        <v>8.8000000000000007</v>
      </c>
      <c r="R85" s="1" t="s">
        <v>58</v>
      </c>
      <c r="S85" s="1">
        <v>307.27999999999997</v>
      </c>
      <c r="T85" s="1">
        <v>377</v>
      </c>
      <c r="U85" s="1">
        <v>1.82</v>
      </c>
      <c r="V85" s="1">
        <v>9.4</v>
      </c>
      <c r="W85" s="1">
        <v>2.5000000000000001E-2</v>
      </c>
      <c r="X85" s="1">
        <f t="shared" si="11"/>
        <v>25</v>
      </c>
      <c r="Y85" s="1">
        <v>0.1</v>
      </c>
      <c r="Z85" s="1">
        <v>5.0000000000000001E-3</v>
      </c>
      <c r="AA85" s="1">
        <v>20.931506849314999</v>
      </c>
      <c r="AB85" s="1">
        <v>11</v>
      </c>
      <c r="AC85" s="1">
        <v>25</v>
      </c>
      <c r="AH85" s="1">
        <v>0.99999000000000005</v>
      </c>
      <c r="AJ85" s="1">
        <f t="shared" si="15"/>
        <v>9.9999999999544897E-6</v>
      </c>
      <c r="AK85" s="1">
        <f t="shared" si="13"/>
        <v>-11.51292546497478</v>
      </c>
      <c r="AM85">
        <v>11</v>
      </c>
      <c r="AN85">
        <f>IF(ISNUMBER(AJ85),IF(AJ85&gt;=0.05,1,0),"")</f>
        <v>0</v>
      </c>
      <c r="AO85">
        <f>IF(ISNUMBER(AJ85),IF(AJ85&lt;0.005,1,0),"")</f>
        <v>1</v>
      </c>
      <c r="AQ85" s="34"/>
      <c r="AR85" s="35"/>
      <c r="AS85" s="36"/>
    </row>
    <row r="86" spans="1:45" ht="57" x14ac:dyDescent="0.45">
      <c r="A86" s="1" t="s">
        <v>59</v>
      </c>
      <c r="B86" s="1" t="s">
        <v>56</v>
      </c>
      <c r="C86" s="1">
        <v>107</v>
      </c>
      <c r="D86" s="1">
        <v>253.28</v>
      </c>
      <c r="E86" s="1">
        <v>0.9</v>
      </c>
      <c r="F86" s="1">
        <v>1.5549999999999999</v>
      </c>
      <c r="G86" s="1">
        <v>1.9550000000000001</v>
      </c>
      <c r="H86" s="1">
        <v>0.88</v>
      </c>
      <c r="I86" s="1">
        <v>0.95</v>
      </c>
      <c r="J86" s="1">
        <v>1.59</v>
      </c>
      <c r="K86" s="1" t="s">
        <v>57</v>
      </c>
      <c r="M86" s="1">
        <v>25</v>
      </c>
      <c r="Q86" s="1">
        <v>8.8000000000000007</v>
      </c>
      <c r="R86" s="1" t="s">
        <v>58</v>
      </c>
      <c r="S86" s="1">
        <v>307.27999999999997</v>
      </c>
      <c r="T86" s="1">
        <v>377</v>
      </c>
      <c r="U86" s="1">
        <v>1.82</v>
      </c>
      <c r="V86" s="1">
        <v>9.4</v>
      </c>
      <c r="W86" s="1">
        <v>2.5000000000000001E-2</v>
      </c>
      <c r="X86" s="1">
        <f t="shared" si="11"/>
        <v>25</v>
      </c>
      <c r="Y86" s="1">
        <v>0.1</v>
      </c>
      <c r="Z86" s="1">
        <v>5.0000000000000001E-3</v>
      </c>
      <c r="AA86" s="1">
        <v>31.092465753424602</v>
      </c>
      <c r="AB86" s="1">
        <v>11</v>
      </c>
      <c r="AC86" s="1">
        <v>25</v>
      </c>
      <c r="AH86" s="1">
        <v>0.99999499999999997</v>
      </c>
      <c r="AJ86" s="1">
        <f t="shared" si="15"/>
        <v>5.000000000032756E-6</v>
      </c>
      <c r="AK86" s="1">
        <f t="shared" si="13"/>
        <v>-12.206072645523623</v>
      </c>
      <c r="AM86">
        <v>11</v>
      </c>
      <c r="AN86">
        <f>IF(ISNUMBER(AJ86),IF(AJ86&gt;=0.05,1,0),"")</f>
        <v>0</v>
      </c>
      <c r="AO86">
        <f>IF(ISNUMBER(AJ86),IF(AJ86&lt;0.005,1,0),"")</f>
        <v>1</v>
      </c>
      <c r="AQ86" s="34"/>
      <c r="AR86" s="35"/>
      <c r="AS86" s="36"/>
    </row>
    <row r="87" spans="1:45" ht="57" x14ac:dyDescent="0.45">
      <c r="A87" s="1" t="s">
        <v>59</v>
      </c>
      <c r="B87" s="1" t="s">
        <v>56</v>
      </c>
      <c r="C87" s="1">
        <v>107</v>
      </c>
      <c r="D87" s="1">
        <v>253.28</v>
      </c>
      <c r="E87" s="1">
        <v>0.9</v>
      </c>
      <c r="F87" s="1">
        <v>1.5549999999999999</v>
      </c>
      <c r="G87" s="1">
        <v>1.9550000000000001</v>
      </c>
      <c r="H87" s="1">
        <v>0.88</v>
      </c>
      <c r="I87" s="1">
        <v>0.95</v>
      </c>
      <c r="J87" s="1">
        <v>1.59</v>
      </c>
      <c r="K87" s="1" t="s">
        <v>57</v>
      </c>
      <c r="M87" s="1">
        <v>25</v>
      </c>
      <c r="Q87" s="1">
        <v>8.8000000000000007</v>
      </c>
      <c r="R87" s="1" t="s">
        <v>58</v>
      </c>
      <c r="S87" s="1">
        <v>307.27999999999997</v>
      </c>
      <c r="T87" s="1">
        <v>377</v>
      </c>
      <c r="U87" s="1">
        <v>1.82</v>
      </c>
      <c r="V87" s="1">
        <v>9.4</v>
      </c>
      <c r="W87" s="1">
        <v>0.05</v>
      </c>
      <c r="X87" s="1">
        <f t="shared" si="11"/>
        <v>50</v>
      </c>
      <c r="Y87" s="1">
        <v>0.1</v>
      </c>
      <c r="Z87" s="1">
        <v>5.0000000000000001E-3</v>
      </c>
      <c r="AA87" s="1">
        <v>0</v>
      </c>
      <c r="AB87" s="1">
        <v>11</v>
      </c>
      <c r="AC87" s="1">
        <v>25</v>
      </c>
      <c r="AH87" s="1">
        <v>0</v>
      </c>
      <c r="AI87" s="1">
        <f>-AK94/AA94</f>
        <v>0.39158132415874547</v>
      </c>
      <c r="AJ87" s="1">
        <f t="shared" ref="AJ87" si="16">1-AH87</f>
        <v>1</v>
      </c>
      <c r="AK87" s="1">
        <f t="shared" si="13"/>
        <v>0</v>
      </c>
      <c r="AL87" s="1">
        <v>0.38896766477816203</v>
      </c>
      <c r="AM87">
        <v>12</v>
      </c>
      <c r="AN87">
        <f>IF(ISNUMBER(AJ87),IF(AJ87&gt;=0.05,1,0),"")</f>
        <v>1</v>
      </c>
      <c r="AO87">
        <f>IF(ISNUMBER(AJ87),IF(AJ87&lt;0.005,1,0),"")</f>
        <v>0</v>
      </c>
      <c r="AP87">
        <f>IFERROR(MATCH(0,AN87:AN94,0)-1,8)</f>
        <v>4</v>
      </c>
      <c r="AQ87" s="34">
        <f>IF(AP87&lt;3,"n&lt;3",IFERROR(-SLOPE(AK87:INDEX(AK87:AK94,AP87),AA87:INDEX(AA87:AA94,AP87)),"no fit"))</f>
        <v>0.37068867471224376</v>
      </c>
      <c r="AR87" s="35">
        <f>IF(AP87&lt;3,"",IFERROR(RSQ(AK87:INDEX(AK87:AK94,AP87),AA87:INDEX(AA87:AA94,AP87)),"flat"))</f>
        <v>0.99736504847166696</v>
      </c>
      <c r="AS87" s="36">
        <f>IFERROR(AQ87/AI87,"")</f>
        <v>0.9466454395102053</v>
      </c>
    </row>
    <row r="88" spans="1:45" ht="57" x14ac:dyDescent="0.45">
      <c r="A88" s="1" t="s">
        <v>59</v>
      </c>
      <c r="B88" s="1" t="s">
        <v>56</v>
      </c>
      <c r="C88" s="1">
        <v>107</v>
      </c>
      <c r="D88" s="1">
        <v>253.28</v>
      </c>
      <c r="E88" s="1">
        <v>0.9</v>
      </c>
      <c r="F88" s="1">
        <v>1.5549999999999999</v>
      </c>
      <c r="G88" s="1">
        <v>1.9550000000000001</v>
      </c>
      <c r="H88" s="1">
        <v>0.88</v>
      </c>
      <c r="I88" s="1">
        <v>0.95</v>
      </c>
      <c r="J88" s="1">
        <v>1.59</v>
      </c>
      <c r="K88" s="1" t="s">
        <v>57</v>
      </c>
      <c r="M88" s="1">
        <v>25</v>
      </c>
      <c r="Q88" s="1">
        <v>8.8000000000000007</v>
      </c>
      <c r="R88" s="1" t="s">
        <v>58</v>
      </c>
      <c r="S88" s="1">
        <v>307.27999999999997</v>
      </c>
      <c r="T88" s="1">
        <v>377</v>
      </c>
      <c r="U88" s="1">
        <v>1.82</v>
      </c>
      <c r="V88" s="1">
        <v>9.4</v>
      </c>
      <c r="W88" s="1">
        <v>0.05</v>
      </c>
      <c r="X88" s="1">
        <f t="shared" si="11"/>
        <v>50</v>
      </c>
      <c r="Y88" s="1">
        <v>0.1</v>
      </c>
      <c r="Z88" s="1">
        <v>5.0000000000000001E-3</v>
      </c>
      <c r="AA88" s="1">
        <v>1.00342465753427</v>
      </c>
      <c r="AB88" s="1">
        <v>11</v>
      </c>
      <c r="AC88" s="1">
        <v>25</v>
      </c>
      <c r="AH88" s="1">
        <v>0.37610346336887401</v>
      </c>
      <c r="AJ88" s="1">
        <f t="shared" si="15"/>
        <v>0.62389653663112599</v>
      </c>
      <c r="AK88" s="1">
        <f t="shared" si="13"/>
        <v>-0.47177073104104456</v>
      </c>
      <c r="AM88">
        <v>12</v>
      </c>
      <c r="AN88">
        <f>IF(ISNUMBER(AJ88),IF(AJ88&gt;=0.05,1,0),"")</f>
        <v>1</v>
      </c>
      <c r="AO88">
        <f>IF(ISNUMBER(AJ88),IF(AJ88&lt;0.005,1,0),"")</f>
        <v>0</v>
      </c>
      <c r="AQ88" s="34"/>
      <c r="AR88" s="35"/>
      <c r="AS88" s="36"/>
    </row>
    <row r="89" spans="1:45" ht="57" x14ac:dyDescent="0.45">
      <c r="A89" s="1" t="s">
        <v>59</v>
      </c>
      <c r="B89" s="1" t="s">
        <v>56</v>
      </c>
      <c r="C89" s="1">
        <v>107</v>
      </c>
      <c r="D89" s="1">
        <v>253.28</v>
      </c>
      <c r="E89" s="1">
        <v>0.9</v>
      </c>
      <c r="F89" s="1">
        <v>1.5549999999999999</v>
      </c>
      <c r="G89" s="1">
        <v>1.9550000000000001</v>
      </c>
      <c r="H89" s="1">
        <v>0.88</v>
      </c>
      <c r="I89" s="1">
        <v>0.95</v>
      </c>
      <c r="J89" s="1">
        <v>1.59</v>
      </c>
      <c r="K89" s="1" t="s">
        <v>57</v>
      </c>
      <c r="M89" s="1">
        <v>25</v>
      </c>
      <c r="Q89" s="1">
        <v>8.8000000000000007</v>
      </c>
      <c r="R89" s="1" t="s">
        <v>58</v>
      </c>
      <c r="S89" s="1">
        <v>307.27999999999997</v>
      </c>
      <c r="T89" s="1">
        <v>377</v>
      </c>
      <c r="U89" s="1">
        <v>1.82</v>
      </c>
      <c r="V89" s="1">
        <v>9.4</v>
      </c>
      <c r="W89" s="1">
        <v>0.05</v>
      </c>
      <c r="X89" s="1">
        <f t="shared" si="11"/>
        <v>50</v>
      </c>
      <c r="Y89" s="1">
        <v>0.1</v>
      </c>
      <c r="Z89" s="1">
        <v>5.0000000000000001E-3</v>
      </c>
      <c r="AA89" s="1">
        <v>2.9726027397260402</v>
      </c>
      <c r="AB89" s="1">
        <v>11</v>
      </c>
      <c r="AC89" s="1">
        <v>25</v>
      </c>
      <c r="AH89" s="1">
        <v>0.67856921679353099</v>
      </c>
      <c r="AJ89" s="1">
        <f t="shared" si="15"/>
        <v>0.32143078320646901</v>
      </c>
      <c r="AK89" s="1">
        <f t="shared" si="13"/>
        <v>-1.1349730517758667</v>
      </c>
      <c r="AM89">
        <v>12</v>
      </c>
      <c r="AN89">
        <f>IF(ISNUMBER(AJ89),IF(AJ89&gt;=0.05,1,0),"")</f>
        <v>1</v>
      </c>
      <c r="AO89">
        <f>IF(ISNUMBER(AJ89),IF(AJ89&lt;0.005,1,0),"")</f>
        <v>0</v>
      </c>
      <c r="AQ89" s="34"/>
      <c r="AR89" s="35"/>
      <c r="AS89" s="36"/>
    </row>
    <row r="90" spans="1:45" ht="57" x14ac:dyDescent="0.45">
      <c r="A90" s="1" t="s">
        <v>59</v>
      </c>
      <c r="B90" s="1" t="s">
        <v>56</v>
      </c>
      <c r="C90" s="1">
        <v>107</v>
      </c>
      <c r="D90" s="1">
        <v>253.28</v>
      </c>
      <c r="E90" s="1">
        <v>0.9</v>
      </c>
      <c r="F90" s="1">
        <v>1.5549999999999999</v>
      </c>
      <c r="G90" s="1">
        <v>1.9550000000000001</v>
      </c>
      <c r="H90" s="1">
        <v>0.88</v>
      </c>
      <c r="I90" s="1">
        <v>0.95</v>
      </c>
      <c r="J90" s="1">
        <v>1.59</v>
      </c>
      <c r="K90" s="1" t="s">
        <v>57</v>
      </c>
      <c r="M90" s="1">
        <v>25</v>
      </c>
      <c r="Q90" s="1">
        <v>8.8000000000000007</v>
      </c>
      <c r="R90" s="1" t="s">
        <v>58</v>
      </c>
      <c r="S90" s="1">
        <v>307.27999999999997</v>
      </c>
      <c r="T90" s="1">
        <v>377</v>
      </c>
      <c r="U90" s="1">
        <v>1.82</v>
      </c>
      <c r="V90" s="1">
        <v>9.4</v>
      </c>
      <c r="W90" s="1">
        <v>0.05</v>
      </c>
      <c r="X90" s="1">
        <f t="shared" si="11"/>
        <v>50</v>
      </c>
      <c r="Y90" s="1">
        <v>0.1</v>
      </c>
      <c r="Z90" s="1">
        <v>5.0000000000000001E-3</v>
      </c>
      <c r="AA90" s="1">
        <v>4.9417808219178196</v>
      </c>
      <c r="AB90" s="1">
        <v>11</v>
      </c>
      <c r="AC90" s="1">
        <v>25</v>
      </c>
      <c r="AH90" s="1">
        <v>0.84555551816339403</v>
      </c>
      <c r="AJ90" s="1">
        <f t="shared" si="15"/>
        <v>0.15444448183660597</v>
      </c>
      <c r="AK90" s="1">
        <f t="shared" si="13"/>
        <v>-1.8679205880861276</v>
      </c>
      <c r="AM90">
        <v>12</v>
      </c>
      <c r="AN90">
        <f>IF(ISNUMBER(AJ90),IF(AJ90&gt;=0.05,1,0),"")</f>
        <v>1</v>
      </c>
      <c r="AO90">
        <f>IF(ISNUMBER(AJ90),IF(AJ90&lt;0.005,1,0),"")</f>
        <v>0</v>
      </c>
      <c r="AQ90" s="34"/>
      <c r="AR90" s="35"/>
      <c r="AS90" s="36"/>
    </row>
    <row r="91" spans="1:45" ht="57" x14ac:dyDescent="0.45">
      <c r="A91" s="1" t="s">
        <v>59</v>
      </c>
      <c r="B91" s="1" t="s">
        <v>56</v>
      </c>
      <c r="C91" s="1">
        <v>107</v>
      </c>
      <c r="D91" s="1">
        <v>253.28</v>
      </c>
      <c r="E91" s="1">
        <v>0.9</v>
      </c>
      <c r="F91" s="1">
        <v>1.5549999999999999</v>
      </c>
      <c r="G91" s="1">
        <v>1.9550000000000001</v>
      </c>
      <c r="H91" s="1">
        <v>0.88</v>
      </c>
      <c r="I91" s="1">
        <v>0.95</v>
      </c>
      <c r="J91" s="1">
        <v>1.59</v>
      </c>
      <c r="K91" s="1" t="s">
        <v>57</v>
      </c>
      <c r="M91" s="1">
        <v>25</v>
      </c>
      <c r="Q91" s="1">
        <v>8.8000000000000007</v>
      </c>
      <c r="R91" s="1" t="s">
        <v>58</v>
      </c>
      <c r="S91" s="1">
        <v>307.27999999999997</v>
      </c>
      <c r="T91" s="1">
        <v>377</v>
      </c>
      <c r="U91" s="1">
        <v>1.82</v>
      </c>
      <c r="V91" s="1">
        <v>9.4</v>
      </c>
      <c r="W91" s="1">
        <v>0.05</v>
      </c>
      <c r="X91" s="1">
        <f t="shared" si="11"/>
        <v>50</v>
      </c>
      <c r="Y91" s="1">
        <v>0.1</v>
      </c>
      <c r="Z91" s="1">
        <v>5.0000000000000001E-3</v>
      </c>
      <c r="AA91" s="1">
        <v>10.6130136986301</v>
      </c>
      <c r="AB91" s="1">
        <v>11</v>
      </c>
      <c r="AC91" s="1">
        <v>25</v>
      </c>
      <c r="AH91" s="1">
        <v>0.97473360035517442</v>
      </c>
      <c r="AJ91" s="1">
        <f t="shared" si="15"/>
        <v>2.5266399644825577E-2</v>
      </c>
      <c r="AK91" s="1">
        <f t="shared" si="13"/>
        <v>-3.6782798432045092</v>
      </c>
      <c r="AM91">
        <v>12</v>
      </c>
      <c r="AN91">
        <f>IF(ISNUMBER(AJ91),IF(AJ91&gt;=0.05,1,0),"")</f>
        <v>0</v>
      </c>
      <c r="AO91">
        <f>IF(ISNUMBER(AJ91),IF(AJ91&lt;0.005,1,0),"")</f>
        <v>0</v>
      </c>
      <c r="AQ91" s="34"/>
      <c r="AR91" s="35"/>
      <c r="AS91" s="36"/>
    </row>
    <row r="92" spans="1:45" ht="57" x14ac:dyDescent="0.45">
      <c r="A92" s="1" t="s">
        <v>59</v>
      </c>
      <c r="B92" s="1" t="s">
        <v>56</v>
      </c>
      <c r="C92" s="1">
        <v>107</v>
      </c>
      <c r="D92" s="1">
        <v>253.28</v>
      </c>
      <c r="E92" s="1">
        <v>0.9</v>
      </c>
      <c r="F92" s="1">
        <v>1.5549999999999999</v>
      </c>
      <c r="G92" s="1">
        <v>1.9550000000000001</v>
      </c>
      <c r="H92" s="1">
        <v>0.88</v>
      </c>
      <c r="I92" s="1">
        <v>0.95</v>
      </c>
      <c r="J92" s="1">
        <v>1.59</v>
      </c>
      <c r="K92" s="1" t="s">
        <v>57</v>
      </c>
      <c r="M92" s="1">
        <v>25</v>
      </c>
      <c r="Q92" s="1">
        <v>8.8000000000000007</v>
      </c>
      <c r="R92" s="1" t="s">
        <v>58</v>
      </c>
      <c r="S92" s="1">
        <v>307.27999999999997</v>
      </c>
      <c r="T92" s="1">
        <v>377</v>
      </c>
      <c r="U92" s="1">
        <v>1.82</v>
      </c>
      <c r="V92" s="1">
        <v>9.4</v>
      </c>
      <c r="W92" s="1">
        <v>0.05</v>
      </c>
      <c r="X92" s="1">
        <f t="shared" si="11"/>
        <v>50</v>
      </c>
      <c r="Y92" s="1">
        <v>0.1</v>
      </c>
      <c r="Z92" s="1">
        <v>5.0000000000000001E-3</v>
      </c>
      <c r="AA92" s="1">
        <v>15.4965753424657</v>
      </c>
      <c r="AB92" s="1">
        <v>11</v>
      </c>
      <c r="AC92" s="1">
        <v>25</v>
      </c>
      <c r="AH92" s="1">
        <v>0.98733634008120164</v>
      </c>
      <c r="AJ92" s="1">
        <f t="shared" si="15"/>
        <v>1.2663659918798365E-2</v>
      </c>
      <c r="AK92" s="1">
        <f t="shared" si="13"/>
        <v>-4.3690188109334338</v>
      </c>
      <c r="AM92">
        <v>12</v>
      </c>
      <c r="AN92">
        <f>IF(ISNUMBER(AJ92),IF(AJ92&gt;=0.05,1,0),"")</f>
        <v>0</v>
      </c>
      <c r="AO92">
        <f>IF(ISNUMBER(AJ92),IF(AJ92&lt;0.005,1,0),"")</f>
        <v>0</v>
      </c>
      <c r="AQ92" s="34"/>
      <c r="AR92" s="35"/>
      <c r="AS92" s="36"/>
    </row>
    <row r="93" spans="1:45" ht="57" x14ac:dyDescent="0.45">
      <c r="A93" s="1" t="s">
        <v>59</v>
      </c>
      <c r="B93" s="1" t="s">
        <v>56</v>
      </c>
      <c r="C93" s="1">
        <v>107</v>
      </c>
      <c r="D93" s="1">
        <v>253.28</v>
      </c>
      <c r="E93" s="1">
        <v>0.9</v>
      </c>
      <c r="F93" s="1">
        <v>1.5549999999999999</v>
      </c>
      <c r="G93" s="1">
        <v>1.9550000000000001</v>
      </c>
      <c r="H93" s="1">
        <v>0.88</v>
      </c>
      <c r="I93" s="1">
        <v>0.95</v>
      </c>
      <c r="J93" s="1">
        <v>1.59</v>
      </c>
      <c r="K93" s="1" t="s">
        <v>57</v>
      </c>
      <c r="M93" s="1">
        <v>25</v>
      </c>
      <c r="Q93" s="1">
        <v>8.8000000000000007</v>
      </c>
      <c r="R93" s="1" t="s">
        <v>58</v>
      </c>
      <c r="S93" s="1">
        <v>307.27999999999997</v>
      </c>
      <c r="T93" s="1">
        <v>377</v>
      </c>
      <c r="U93" s="1">
        <v>1.82</v>
      </c>
      <c r="V93" s="1">
        <v>9.4</v>
      </c>
      <c r="W93" s="1">
        <v>0.05</v>
      </c>
      <c r="X93" s="1">
        <f t="shared" si="11"/>
        <v>50</v>
      </c>
      <c r="Y93" s="1">
        <v>0.1</v>
      </c>
      <c r="Z93" s="1">
        <v>5.0000000000000001E-3</v>
      </c>
      <c r="AA93" s="1">
        <v>20.7739726027397</v>
      </c>
      <c r="AB93" s="1">
        <v>11</v>
      </c>
      <c r="AC93" s="1">
        <v>25</v>
      </c>
      <c r="AH93" s="1">
        <v>0.99999000000000005</v>
      </c>
      <c r="AJ93" s="1">
        <f t="shared" si="15"/>
        <v>9.9999999999544897E-6</v>
      </c>
      <c r="AK93" s="1">
        <f t="shared" si="13"/>
        <v>-11.51292546497478</v>
      </c>
      <c r="AM93">
        <v>12</v>
      </c>
      <c r="AN93">
        <f>IF(ISNUMBER(AJ93),IF(AJ93&gt;=0.05,1,0),"")</f>
        <v>0</v>
      </c>
      <c r="AO93">
        <f>IF(ISNUMBER(AJ93),IF(AJ93&lt;0.005,1,0),"")</f>
        <v>1</v>
      </c>
      <c r="AQ93" s="34"/>
      <c r="AR93" s="35"/>
      <c r="AS93" s="36"/>
    </row>
    <row r="94" spans="1:45" ht="57" x14ac:dyDescent="0.45">
      <c r="A94" s="1" t="s">
        <v>59</v>
      </c>
      <c r="B94" s="1" t="s">
        <v>56</v>
      </c>
      <c r="C94" s="1">
        <v>107</v>
      </c>
      <c r="D94" s="1">
        <v>253.28</v>
      </c>
      <c r="E94" s="1">
        <v>0.9</v>
      </c>
      <c r="F94" s="1">
        <v>1.5549999999999999</v>
      </c>
      <c r="G94" s="1">
        <v>1.9550000000000001</v>
      </c>
      <c r="H94" s="1">
        <v>0.88</v>
      </c>
      <c r="I94" s="1">
        <v>0.95</v>
      </c>
      <c r="J94" s="1">
        <v>1.59</v>
      </c>
      <c r="K94" s="1" t="s">
        <v>57</v>
      </c>
      <c r="M94" s="1">
        <v>25</v>
      </c>
      <c r="Q94" s="1">
        <v>8.8000000000000007</v>
      </c>
      <c r="R94" s="1" t="s">
        <v>58</v>
      </c>
      <c r="S94" s="1">
        <v>307.27999999999997</v>
      </c>
      <c r="T94" s="1">
        <v>377</v>
      </c>
      <c r="U94" s="1">
        <v>1.82</v>
      </c>
      <c r="V94" s="1">
        <v>9.4</v>
      </c>
      <c r="W94" s="1">
        <v>0.05</v>
      </c>
      <c r="X94" s="1">
        <f t="shared" si="11"/>
        <v>50</v>
      </c>
      <c r="Y94" s="1">
        <v>0.1</v>
      </c>
      <c r="Z94" s="1">
        <v>5.0000000000000001E-3</v>
      </c>
      <c r="AA94" s="1">
        <v>31.171232876712299</v>
      </c>
      <c r="AB94" s="1">
        <v>11</v>
      </c>
      <c r="AC94" s="1">
        <v>25</v>
      </c>
      <c r="AH94" s="1">
        <v>0.99999499999999997</v>
      </c>
      <c r="AJ94" s="1">
        <f t="shared" si="15"/>
        <v>5.000000000032756E-6</v>
      </c>
      <c r="AK94" s="1">
        <f t="shared" si="13"/>
        <v>-12.206072645523623</v>
      </c>
      <c r="AM94">
        <v>12</v>
      </c>
      <c r="AN94">
        <f>IF(ISNUMBER(AJ94),IF(AJ94&gt;=0.05,1,0),"")</f>
        <v>0</v>
      </c>
      <c r="AO94">
        <f>IF(ISNUMBER(AJ94),IF(AJ94&lt;0.005,1,0),"")</f>
        <v>1</v>
      </c>
      <c r="AQ94" s="34"/>
      <c r="AR94" s="35"/>
      <c r="AS94" s="36"/>
    </row>
    <row r="95" spans="1:45" ht="57" x14ac:dyDescent="0.45">
      <c r="A95" s="1" t="s">
        <v>60</v>
      </c>
      <c r="B95" s="1" t="s">
        <v>56</v>
      </c>
      <c r="C95" s="1">
        <v>107</v>
      </c>
      <c r="D95" s="1">
        <v>253.28</v>
      </c>
      <c r="E95" s="1">
        <v>0.9</v>
      </c>
      <c r="F95" s="1">
        <v>1.5549999999999999</v>
      </c>
      <c r="G95" s="1">
        <v>1.9550000000000001</v>
      </c>
      <c r="H95" s="1">
        <v>0.88</v>
      </c>
      <c r="I95" s="1">
        <v>0.95</v>
      </c>
      <c r="J95" s="1">
        <v>1.59</v>
      </c>
      <c r="K95" s="1" t="s">
        <v>57</v>
      </c>
      <c r="M95" s="1">
        <v>25</v>
      </c>
      <c r="Q95" s="1">
        <v>8.8000000000000007</v>
      </c>
      <c r="R95" s="1" t="s">
        <v>58</v>
      </c>
      <c r="S95" s="1">
        <v>307.27999999999997</v>
      </c>
      <c r="T95" s="1">
        <v>377</v>
      </c>
      <c r="U95" s="1">
        <v>1.82</v>
      </c>
      <c r="V95" s="1">
        <v>9.4</v>
      </c>
      <c r="W95" s="1">
        <v>2.5000000000000001E-2</v>
      </c>
      <c r="X95" s="1">
        <f t="shared" si="11"/>
        <v>25</v>
      </c>
      <c r="Y95" s="1">
        <v>0.1</v>
      </c>
      <c r="Z95" s="1">
        <v>5.0000000000000001E-3</v>
      </c>
      <c r="AA95" s="1">
        <v>0</v>
      </c>
      <c r="AB95" s="1">
        <v>9</v>
      </c>
      <c r="AC95" s="1">
        <v>25</v>
      </c>
      <c r="AH95" s="1">
        <v>0</v>
      </c>
      <c r="AI95" s="1">
        <f>-AK102/AA102</f>
        <v>0.15096001326541314</v>
      </c>
      <c r="AJ95" s="1">
        <f t="shared" ref="AJ95" si="17">1-AH95</f>
        <v>1</v>
      </c>
      <c r="AK95" s="1">
        <f t="shared" si="13"/>
        <v>0</v>
      </c>
      <c r="AL95" s="1">
        <v>0.138228068277605</v>
      </c>
      <c r="AM95">
        <v>13</v>
      </c>
      <c r="AN95">
        <f>IF(ISNUMBER(AJ95),IF(AJ95&gt;=0.05,1,0),"")</f>
        <v>1</v>
      </c>
      <c r="AO95">
        <f>IF(ISNUMBER(AJ95),IF(AJ95&lt;0.005,1,0),"")</f>
        <v>0</v>
      </c>
      <c r="AP95">
        <f>IFERROR(MATCH(0,AN95:AN102,0)-1,8)</f>
        <v>7</v>
      </c>
      <c r="AQ95" s="34">
        <f>IF(AP95&lt;3,"n&lt;3",IFERROR(-SLOPE(AK95:INDEX(AK95:AK102,AP95),AA95:INDEX(AA95:AA102,AP95)),"no fit"))</f>
        <v>0.15097096442232233</v>
      </c>
      <c r="AR95" s="35">
        <f>IF(AP95&lt;3,"",IFERROR(RSQ(AK95:INDEX(AK95:AK102,AP95),AA95:INDEX(AA95:AA102,AP95)),"flat"))</f>
        <v>0.81976032961580259</v>
      </c>
      <c r="AS95" s="36">
        <f>IFERROR(AQ95/AI95,"")</f>
        <v>1.0000725434283708</v>
      </c>
    </row>
    <row r="96" spans="1:45" ht="57" x14ac:dyDescent="0.45">
      <c r="A96" s="1" t="s">
        <v>60</v>
      </c>
      <c r="B96" s="1" t="s">
        <v>56</v>
      </c>
      <c r="C96" s="1">
        <v>107</v>
      </c>
      <c r="D96" s="1">
        <v>253.28</v>
      </c>
      <c r="E96" s="1">
        <v>0.9</v>
      </c>
      <c r="F96" s="1">
        <v>1.5549999999999999</v>
      </c>
      <c r="G96" s="1">
        <v>1.9550000000000001</v>
      </c>
      <c r="H96" s="1">
        <v>0.88</v>
      </c>
      <c r="I96" s="1">
        <v>0.95</v>
      </c>
      <c r="J96" s="1">
        <v>1.59</v>
      </c>
      <c r="K96" s="1" t="s">
        <v>57</v>
      </c>
      <c r="M96" s="1">
        <v>25</v>
      </c>
      <c r="Q96" s="1">
        <v>8.8000000000000007</v>
      </c>
      <c r="R96" s="1" t="s">
        <v>58</v>
      </c>
      <c r="S96" s="1">
        <v>307.27999999999997</v>
      </c>
      <c r="T96" s="1">
        <v>377</v>
      </c>
      <c r="U96" s="1">
        <v>1.82</v>
      </c>
      <c r="V96" s="1">
        <v>9.4</v>
      </c>
      <c r="W96" s="1">
        <v>2.5000000000000001E-2</v>
      </c>
      <c r="X96" s="1">
        <f t="shared" si="11"/>
        <v>25</v>
      </c>
      <c r="Y96" s="1">
        <v>0.1</v>
      </c>
      <c r="Z96" s="1">
        <v>5.0000000000000001E-3</v>
      </c>
      <c r="AA96" s="1">
        <v>1.0869565217391199</v>
      </c>
      <c r="AB96" s="1">
        <v>9</v>
      </c>
      <c r="AC96" s="1">
        <v>25</v>
      </c>
      <c r="AH96" s="1">
        <v>0.40615384615384598</v>
      </c>
      <c r="AJ96" s="1">
        <f t="shared" si="15"/>
        <v>0.59384615384615402</v>
      </c>
      <c r="AK96" s="1">
        <f t="shared" si="13"/>
        <v>-0.52113499342485159</v>
      </c>
      <c r="AM96">
        <v>13</v>
      </c>
      <c r="AN96">
        <f>IF(ISNUMBER(AJ96),IF(AJ96&gt;=0.05,1,0),"")</f>
        <v>1</v>
      </c>
      <c r="AO96">
        <f>IF(ISNUMBER(AJ96),IF(AJ96&lt;0.005,1,0),"")</f>
        <v>0</v>
      </c>
      <c r="AQ96" s="34"/>
      <c r="AR96" s="35"/>
      <c r="AS96" s="36"/>
    </row>
    <row r="97" spans="1:45" ht="57" x14ac:dyDescent="0.45">
      <c r="A97" s="1" t="s">
        <v>60</v>
      </c>
      <c r="B97" s="1" t="s">
        <v>56</v>
      </c>
      <c r="C97" s="1">
        <v>107</v>
      </c>
      <c r="D97" s="1">
        <v>253.28</v>
      </c>
      <c r="E97" s="1">
        <v>0.9</v>
      </c>
      <c r="F97" s="1">
        <v>1.5549999999999999</v>
      </c>
      <c r="G97" s="1">
        <v>1.9550000000000001</v>
      </c>
      <c r="H97" s="1">
        <v>0.88</v>
      </c>
      <c r="I97" s="1">
        <v>0.95</v>
      </c>
      <c r="J97" s="1">
        <v>1.59</v>
      </c>
      <c r="K97" s="1" t="s">
        <v>57</v>
      </c>
      <c r="M97" s="1">
        <v>25</v>
      </c>
      <c r="Q97" s="1">
        <v>8.8000000000000007</v>
      </c>
      <c r="R97" s="1" t="s">
        <v>58</v>
      </c>
      <c r="S97" s="1">
        <v>307.27999999999997</v>
      </c>
      <c r="T97" s="1">
        <v>377</v>
      </c>
      <c r="U97" s="1">
        <v>1.82</v>
      </c>
      <c r="V97" s="1">
        <v>9.4</v>
      </c>
      <c r="W97" s="1">
        <v>2.5000000000000001E-2</v>
      </c>
      <c r="X97" s="1">
        <f t="shared" si="11"/>
        <v>25</v>
      </c>
      <c r="Y97" s="1">
        <v>0.1</v>
      </c>
      <c r="Z97" s="1">
        <v>5.0000000000000001E-3</v>
      </c>
      <c r="AA97" s="1">
        <v>2.9710144927536302</v>
      </c>
      <c r="AB97" s="1">
        <v>9</v>
      </c>
      <c r="AC97" s="1">
        <v>25</v>
      </c>
      <c r="AH97" s="1">
        <v>0.71384615384615402</v>
      </c>
      <c r="AJ97" s="1">
        <f t="shared" si="15"/>
        <v>0.28615384615384598</v>
      </c>
      <c r="AK97" s="1">
        <f t="shared" si="13"/>
        <v>-1.2512256891764821</v>
      </c>
      <c r="AM97">
        <v>13</v>
      </c>
      <c r="AN97">
        <f>IF(ISNUMBER(AJ97),IF(AJ97&gt;=0.05,1,0),"")</f>
        <v>1</v>
      </c>
      <c r="AO97">
        <f>IF(ISNUMBER(AJ97),IF(AJ97&lt;0.005,1,0),"")</f>
        <v>0</v>
      </c>
      <c r="AQ97" s="34"/>
      <c r="AR97" s="35"/>
      <c r="AS97" s="36"/>
    </row>
    <row r="98" spans="1:45" ht="57" x14ac:dyDescent="0.45">
      <c r="A98" s="1" t="s">
        <v>60</v>
      </c>
      <c r="B98" s="1" t="s">
        <v>56</v>
      </c>
      <c r="C98" s="1">
        <v>107</v>
      </c>
      <c r="D98" s="1">
        <v>253.28</v>
      </c>
      <c r="E98" s="1">
        <v>0.9</v>
      </c>
      <c r="F98" s="1">
        <v>1.5549999999999999</v>
      </c>
      <c r="G98" s="1">
        <v>1.9550000000000001</v>
      </c>
      <c r="H98" s="1">
        <v>0.88</v>
      </c>
      <c r="I98" s="1">
        <v>0.95</v>
      </c>
      <c r="J98" s="1">
        <v>1.59</v>
      </c>
      <c r="K98" s="1" t="s">
        <v>57</v>
      </c>
      <c r="M98" s="1">
        <v>25</v>
      </c>
      <c r="Q98" s="1">
        <v>8.8000000000000007</v>
      </c>
      <c r="R98" s="1" t="s">
        <v>58</v>
      </c>
      <c r="S98" s="1">
        <v>307.27999999999997</v>
      </c>
      <c r="T98" s="1">
        <v>377</v>
      </c>
      <c r="U98" s="1">
        <v>1.82</v>
      </c>
      <c r="V98" s="1">
        <v>9.4</v>
      </c>
      <c r="W98" s="1">
        <v>2.5000000000000001E-2</v>
      </c>
      <c r="X98" s="1">
        <f t="shared" si="11"/>
        <v>25</v>
      </c>
      <c r="Y98" s="1">
        <v>0.1</v>
      </c>
      <c r="Z98" s="1">
        <v>5.0000000000000001E-3</v>
      </c>
      <c r="AA98" s="1">
        <v>5</v>
      </c>
      <c r="AB98" s="1">
        <v>9</v>
      </c>
      <c r="AC98" s="1">
        <v>25</v>
      </c>
      <c r="AH98" s="1">
        <v>0.79384615384615398</v>
      </c>
      <c r="AJ98" s="1">
        <f t="shared" si="15"/>
        <v>0.20615384615384602</v>
      </c>
      <c r="AK98" s="1">
        <f t="shared" si="13"/>
        <v>-1.579132562938772</v>
      </c>
      <c r="AM98">
        <v>13</v>
      </c>
      <c r="AN98">
        <f>IF(ISNUMBER(AJ98),IF(AJ98&gt;=0.05,1,0),"")</f>
        <v>1</v>
      </c>
      <c r="AO98">
        <f>IF(ISNUMBER(AJ98),IF(AJ98&lt;0.005,1,0),"")</f>
        <v>0</v>
      </c>
      <c r="AQ98" s="34"/>
      <c r="AR98" s="35"/>
      <c r="AS98" s="36"/>
    </row>
    <row r="99" spans="1:45" ht="57" x14ac:dyDescent="0.45">
      <c r="A99" s="1" t="s">
        <v>60</v>
      </c>
      <c r="B99" s="1" t="s">
        <v>56</v>
      </c>
      <c r="C99" s="1">
        <v>107</v>
      </c>
      <c r="D99" s="1">
        <v>253.28</v>
      </c>
      <c r="E99" s="1">
        <v>0.9</v>
      </c>
      <c r="F99" s="1">
        <v>1.5549999999999999</v>
      </c>
      <c r="G99" s="1">
        <v>1.9550000000000001</v>
      </c>
      <c r="H99" s="1">
        <v>0.88</v>
      </c>
      <c r="I99" s="1">
        <v>0.95</v>
      </c>
      <c r="J99" s="1">
        <v>1.59</v>
      </c>
      <c r="K99" s="1" t="s">
        <v>57</v>
      </c>
      <c r="M99" s="1">
        <v>25</v>
      </c>
      <c r="Q99" s="1">
        <v>8.8000000000000007</v>
      </c>
      <c r="R99" s="1" t="s">
        <v>58</v>
      </c>
      <c r="S99" s="1">
        <v>307.27999999999997</v>
      </c>
      <c r="T99" s="1">
        <v>377</v>
      </c>
      <c r="U99" s="1">
        <v>1.82</v>
      </c>
      <c r="V99" s="1">
        <v>9.4</v>
      </c>
      <c r="W99" s="1">
        <v>2.5000000000000001E-2</v>
      </c>
      <c r="X99" s="1">
        <f t="shared" si="11"/>
        <v>25</v>
      </c>
      <c r="Y99" s="1">
        <v>0.1</v>
      </c>
      <c r="Z99" s="1">
        <v>5.0000000000000001E-3</v>
      </c>
      <c r="AA99" s="1">
        <v>9.7826086956521792</v>
      </c>
      <c r="AB99" s="1">
        <v>9</v>
      </c>
      <c r="AC99" s="1">
        <v>25</v>
      </c>
      <c r="AH99" s="1">
        <v>0.94769230769230772</v>
      </c>
      <c r="AJ99" s="1">
        <f t="shared" si="15"/>
        <v>5.2307692307692277E-2</v>
      </c>
      <c r="AK99" s="1">
        <f t="shared" si="13"/>
        <v>-2.950611838273522</v>
      </c>
      <c r="AM99">
        <v>13</v>
      </c>
      <c r="AN99">
        <f>IF(ISNUMBER(AJ99),IF(AJ99&gt;=0.05,1,0),"")</f>
        <v>1</v>
      </c>
      <c r="AO99">
        <f>IF(ISNUMBER(AJ99),IF(AJ99&lt;0.005,1,0),"")</f>
        <v>0</v>
      </c>
      <c r="AQ99" s="34"/>
      <c r="AR99" s="35"/>
      <c r="AS99" s="36"/>
    </row>
    <row r="100" spans="1:45" ht="57" x14ac:dyDescent="0.45">
      <c r="A100" s="1" t="s">
        <v>60</v>
      </c>
      <c r="B100" s="1" t="s">
        <v>56</v>
      </c>
      <c r="C100" s="1">
        <v>107</v>
      </c>
      <c r="D100" s="1">
        <v>253.28</v>
      </c>
      <c r="E100" s="1">
        <v>0.9</v>
      </c>
      <c r="F100" s="1">
        <v>1.5549999999999999</v>
      </c>
      <c r="G100" s="1">
        <v>1.9550000000000001</v>
      </c>
      <c r="H100" s="1">
        <v>0.88</v>
      </c>
      <c r="I100" s="1">
        <v>0.95</v>
      </c>
      <c r="J100" s="1">
        <v>1.59</v>
      </c>
      <c r="K100" s="1" t="s">
        <v>57</v>
      </c>
      <c r="M100" s="1">
        <v>25</v>
      </c>
      <c r="Q100" s="1">
        <v>8.8000000000000007</v>
      </c>
      <c r="R100" s="1" t="s">
        <v>58</v>
      </c>
      <c r="S100" s="1">
        <v>307.27999999999997</v>
      </c>
      <c r="T100" s="1">
        <v>377</v>
      </c>
      <c r="U100" s="1">
        <v>1.82</v>
      </c>
      <c r="V100" s="1">
        <v>9.4</v>
      </c>
      <c r="W100" s="1">
        <v>2.5000000000000001E-2</v>
      </c>
      <c r="X100" s="1">
        <f t="shared" si="11"/>
        <v>25</v>
      </c>
      <c r="Y100" s="1">
        <v>0.1</v>
      </c>
      <c r="Z100" s="1">
        <v>5.0000000000000001E-3</v>
      </c>
      <c r="AA100" s="1">
        <v>14.7101449275362</v>
      </c>
      <c r="AB100" s="1">
        <v>9</v>
      </c>
      <c r="AC100" s="1">
        <v>25</v>
      </c>
      <c r="AH100" s="1">
        <v>0.94461538461538486</v>
      </c>
      <c r="AJ100" s="1">
        <f t="shared" si="15"/>
        <v>5.5384615384615143E-2</v>
      </c>
      <c r="AK100" s="1">
        <f t="shared" si="13"/>
        <v>-2.8934534244335772</v>
      </c>
      <c r="AM100">
        <v>13</v>
      </c>
      <c r="AN100">
        <f>IF(ISNUMBER(AJ100),IF(AJ100&gt;=0.05,1,0),"")</f>
        <v>1</v>
      </c>
      <c r="AO100">
        <f>IF(ISNUMBER(AJ100),IF(AJ100&lt;0.005,1,0),"")</f>
        <v>0</v>
      </c>
      <c r="AQ100" s="34"/>
      <c r="AR100" s="35"/>
      <c r="AS100" s="36"/>
    </row>
    <row r="101" spans="1:45" ht="57" x14ac:dyDescent="0.45">
      <c r="A101" s="1" t="s">
        <v>60</v>
      </c>
      <c r="B101" s="1" t="s">
        <v>56</v>
      </c>
      <c r="C101" s="1">
        <v>107</v>
      </c>
      <c r="D101" s="1">
        <v>253.28</v>
      </c>
      <c r="E101" s="1">
        <v>0.9</v>
      </c>
      <c r="F101" s="1">
        <v>1.5549999999999999</v>
      </c>
      <c r="G101" s="1">
        <v>1.9550000000000001</v>
      </c>
      <c r="H101" s="1">
        <v>0.88</v>
      </c>
      <c r="I101" s="1">
        <v>0.95</v>
      </c>
      <c r="J101" s="1">
        <v>1.59</v>
      </c>
      <c r="K101" s="1" t="s">
        <v>57</v>
      </c>
      <c r="M101" s="1">
        <v>25</v>
      </c>
      <c r="Q101" s="1">
        <v>8.8000000000000007</v>
      </c>
      <c r="R101" s="1" t="s">
        <v>58</v>
      </c>
      <c r="S101" s="1">
        <v>307.27999999999997</v>
      </c>
      <c r="T101" s="1">
        <v>377</v>
      </c>
      <c r="U101" s="1">
        <v>1.82</v>
      </c>
      <c r="V101" s="1">
        <v>9.4</v>
      </c>
      <c r="W101" s="1">
        <v>2.5000000000000001E-2</v>
      </c>
      <c r="X101" s="1">
        <f t="shared" si="11"/>
        <v>25</v>
      </c>
      <c r="Y101" s="1">
        <v>0.1</v>
      </c>
      <c r="Z101" s="1">
        <v>5.0000000000000001E-3</v>
      </c>
      <c r="AA101" s="1">
        <v>19.492753623188399</v>
      </c>
      <c r="AB101" s="1">
        <v>9</v>
      </c>
      <c r="AC101" s="1">
        <v>25</v>
      </c>
      <c r="AH101" s="1">
        <v>0.94769230769230772</v>
      </c>
      <c r="AJ101" s="1">
        <f t="shared" si="15"/>
        <v>5.2307692307692277E-2</v>
      </c>
      <c r="AK101" s="1">
        <f t="shared" si="13"/>
        <v>-2.950611838273522</v>
      </c>
      <c r="AM101">
        <v>13</v>
      </c>
      <c r="AN101">
        <f>IF(ISNUMBER(AJ101),IF(AJ101&gt;=0.05,1,0),"")</f>
        <v>1</v>
      </c>
      <c r="AO101">
        <f>IF(ISNUMBER(AJ101),IF(AJ101&lt;0.005,1,0),"")</f>
        <v>0</v>
      </c>
      <c r="AQ101" s="34"/>
      <c r="AR101" s="35"/>
      <c r="AS101" s="36"/>
    </row>
    <row r="102" spans="1:45" ht="57" x14ac:dyDescent="0.45">
      <c r="A102" s="1" t="s">
        <v>60</v>
      </c>
      <c r="B102" s="1" t="s">
        <v>56</v>
      </c>
      <c r="C102" s="1">
        <v>107</v>
      </c>
      <c r="D102" s="1">
        <v>253.28</v>
      </c>
      <c r="E102" s="1">
        <v>0.9</v>
      </c>
      <c r="F102" s="1">
        <v>1.5549999999999999</v>
      </c>
      <c r="G102" s="1">
        <v>1.9550000000000001</v>
      </c>
      <c r="H102" s="1">
        <v>0.88</v>
      </c>
      <c r="I102" s="1">
        <v>0.95</v>
      </c>
      <c r="J102" s="1">
        <v>1.59</v>
      </c>
      <c r="K102" s="1" t="s">
        <v>57</v>
      </c>
      <c r="M102" s="1">
        <v>25</v>
      </c>
      <c r="Q102" s="1">
        <v>8.8000000000000007</v>
      </c>
      <c r="R102" s="1" t="s">
        <v>58</v>
      </c>
      <c r="S102" s="1">
        <v>307.27999999999997</v>
      </c>
      <c r="T102" s="1">
        <v>377</v>
      </c>
      <c r="U102" s="1">
        <v>1.82</v>
      </c>
      <c r="V102" s="1">
        <v>9.4</v>
      </c>
      <c r="W102" s="1">
        <v>2.5000000000000001E-2</v>
      </c>
      <c r="X102" s="1">
        <f t="shared" si="11"/>
        <v>25</v>
      </c>
      <c r="Y102" s="1">
        <v>0.1</v>
      </c>
      <c r="Z102" s="1">
        <v>5.0000000000000001E-3</v>
      </c>
      <c r="AA102" s="1">
        <v>29.130434782608699</v>
      </c>
      <c r="AB102" s="1">
        <v>9</v>
      </c>
      <c r="AC102" s="1">
        <v>25</v>
      </c>
      <c r="AH102" s="1">
        <v>0.98769230769230787</v>
      </c>
      <c r="AJ102" s="1">
        <f t="shared" si="15"/>
        <v>1.2307692307692131E-2</v>
      </c>
      <c r="AK102" s="1">
        <f t="shared" si="13"/>
        <v>-4.3975308212098616</v>
      </c>
      <c r="AM102">
        <v>13</v>
      </c>
      <c r="AN102">
        <f>IF(ISNUMBER(AJ102),IF(AJ102&gt;=0.05,1,0),"")</f>
        <v>0</v>
      </c>
      <c r="AO102">
        <f>IF(ISNUMBER(AJ102),IF(AJ102&lt;0.005,1,0),"")</f>
        <v>0</v>
      </c>
      <c r="AQ102" s="34"/>
      <c r="AR102" s="35"/>
      <c r="AS102" s="36"/>
    </row>
    <row r="103" spans="1:45" ht="57" x14ac:dyDescent="0.45">
      <c r="A103" s="1" t="s">
        <v>60</v>
      </c>
      <c r="B103" s="1" t="s">
        <v>56</v>
      </c>
      <c r="C103" s="1">
        <v>107</v>
      </c>
      <c r="D103" s="1">
        <v>253.28</v>
      </c>
      <c r="E103" s="1">
        <v>0.9</v>
      </c>
      <c r="F103" s="1">
        <v>1.5549999999999999</v>
      </c>
      <c r="G103" s="1">
        <v>1.9550000000000001</v>
      </c>
      <c r="H103" s="1">
        <v>0.88</v>
      </c>
      <c r="I103" s="1">
        <v>0.95</v>
      </c>
      <c r="J103" s="1">
        <v>1.59</v>
      </c>
      <c r="K103" s="1" t="s">
        <v>57</v>
      </c>
      <c r="M103" s="1">
        <v>25</v>
      </c>
      <c r="Q103" s="1">
        <v>8.8000000000000007</v>
      </c>
      <c r="R103" s="1" t="s">
        <v>58</v>
      </c>
      <c r="S103" s="1">
        <v>307.27999999999997</v>
      </c>
      <c r="T103" s="1">
        <v>377</v>
      </c>
      <c r="U103" s="1">
        <v>1.82</v>
      </c>
      <c r="V103" s="1">
        <v>9.4</v>
      </c>
      <c r="W103" s="1">
        <v>2.5000000000000001E-2</v>
      </c>
      <c r="X103" s="1">
        <f t="shared" si="11"/>
        <v>25</v>
      </c>
      <c r="Y103" s="1">
        <v>0.1</v>
      </c>
      <c r="Z103" s="1">
        <v>5.0000000000000001E-3</v>
      </c>
      <c r="AA103" s="1">
        <v>0</v>
      </c>
      <c r="AB103" s="1">
        <v>5</v>
      </c>
      <c r="AC103" s="1">
        <v>25</v>
      </c>
      <c r="AH103" s="1">
        <v>0</v>
      </c>
      <c r="AI103" s="1">
        <f>-AK109/AA109</f>
        <v>5.6941485325229128E-2</v>
      </c>
      <c r="AJ103" s="1">
        <f t="shared" ref="AJ103" si="18">1-AH103</f>
        <v>1</v>
      </c>
      <c r="AK103" s="1">
        <f t="shared" si="13"/>
        <v>0</v>
      </c>
      <c r="AL103" s="1">
        <v>1.36024851416303E-2</v>
      </c>
      <c r="AM103">
        <v>14</v>
      </c>
      <c r="AN103">
        <f>IF(ISNUMBER(AJ103),IF(AJ103&gt;=0.05,1,0),"")</f>
        <v>1</v>
      </c>
      <c r="AO103">
        <f>IF(ISNUMBER(AJ103),IF(AJ103&lt;0.005,1,0),"")</f>
        <v>0</v>
      </c>
      <c r="AP103">
        <f>IFERROR(MATCH(0,AN103:AN110,0)-1,8)</f>
        <v>8</v>
      </c>
      <c r="AQ103" s="34">
        <f>IF(AP103&lt;3,"n&lt;3",IFERROR(-SLOPE(AK103:INDEX(AK103:AK110,AP103),AA103:INDEX(AA103:AA110,AP103)),"no fit"))</f>
        <v>2.4418093763168752E-2</v>
      </c>
      <c r="AR103" s="35">
        <f>IF(AP103&lt;3,"",IFERROR(RSQ(AK103:INDEX(AK103:AK110,AP103),AA103:INDEX(AA103:AA110,AP103)),"flat"))</f>
        <v>0.40450438466088257</v>
      </c>
      <c r="AS103" s="36">
        <f>IFERROR(AQ103/AI103,"")</f>
        <v>0.42882783305882255</v>
      </c>
    </row>
    <row r="104" spans="1:45" ht="57" x14ac:dyDescent="0.45">
      <c r="A104" s="1" t="s">
        <v>60</v>
      </c>
      <c r="B104" s="1" t="s">
        <v>56</v>
      </c>
      <c r="C104" s="1">
        <v>107</v>
      </c>
      <c r="D104" s="1">
        <v>253.28</v>
      </c>
      <c r="E104" s="1">
        <v>0.9</v>
      </c>
      <c r="F104" s="1">
        <v>1.5549999999999999</v>
      </c>
      <c r="G104" s="1">
        <v>1.9550000000000001</v>
      </c>
      <c r="H104" s="1">
        <v>0.88</v>
      </c>
      <c r="I104" s="1">
        <v>0.95</v>
      </c>
      <c r="J104" s="1">
        <v>1.59</v>
      </c>
      <c r="K104" s="1" t="s">
        <v>57</v>
      </c>
      <c r="M104" s="1">
        <v>25</v>
      </c>
      <c r="Q104" s="1">
        <v>8.8000000000000007</v>
      </c>
      <c r="R104" s="1" t="s">
        <v>58</v>
      </c>
      <c r="S104" s="1">
        <v>307.27999999999997</v>
      </c>
      <c r="T104" s="1">
        <v>377</v>
      </c>
      <c r="U104" s="1">
        <v>1.82</v>
      </c>
      <c r="V104" s="1">
        <v>9.4</v>
      </c>
      <c r="W104" s="1">
        <v>2.5000000000000001E-2</v>
      </c>
      <c r="X104" s="1">
        <f t="shared" si="11"/>
        <v>25</v>
      </c>
      <c r="Y104" s="1">
        <v>0.1</v>
      </c>
      <c r="Z104" s="1">
        <v>5.0000000000000001E-3</v>
      </c>
      <c r="AA104" s="1">
        <v>1.0869565217391199</v>
      </c>
      <c r="AB104" s="1">
        <v>5</v>
      </c>
      <c r="AC104" s="1">
        <v>25</v>
      </c>
      <c r="AH104" s="1">
        <v>0.59076923076923094</v>
      </c>
      <c r="AJ104" s="1">
        <f t="shared" si="15"/>
        <v>0.40923076923076906</v>
      </c>
      <c r="AK104" s="1">
        <f t="shared" si="13"/>
        <v>-0.89347605410798414</v>
      </c>
      <c r="AM104">
        <v>14</v>
      </c>
      <c r="AN104">
        <f>IF(ISNUMBER(AJ104),IF(AJ104&gt;=0.05,1,0),"")</f>
        <v>1</v>
      </c>
      <c r="AO104">
        <f>IF(ISNUMBER(AJ104),IF(AJ104&lt;0.005,1,0),"")</f>
        <v>0</v>
      </c>
      <c r="AQ104" s="34"/>
      <c r="AR104" s="35"/>
      <c r="AS104" s="36"/>
    </row>
    <row r="105" spans="1:45" ht="57" x14ac:dyDescent="0.45">
      <c r="A105" s="1" t="s">
        <v>60</v>
      </c>
      <c r="B105" s="1" t="s">
        <v>56</v>
      </c>
      <c r="C105" s="1">
        <v>107</v>
      </c>
      <c r="D105" s="1">
        <v>253.28</v>
      </c>
      <c r="E105" s="1">
        <v>0.9</v>
      </c>
      <c r="F105" s="1">
        <v>1.5549999999999999</v>
      </c>
      <c r="G105" s="1">
        <v>1.9550000000000001</v>
      </c>
      <c r="H105" s="1">
        <v>0.88</v>
      </c>
      <c r="I105" s="1">
        <v>0.95</v>
      </c>
      <c r="J105" s="1">
        <v>1.59</v>
      </c>
      <c r="K105" s="1" t="s">
        <v>57</v>
      </c>
      <c r="M105" s="1">
        <v>25</v>
      </c>
      <c r="Q105" s="1">
        <v>8.8000000000000007</v>
      </c>
      <c r="R105" s="1" t="s">
        <v>58</v>
      </c>
      <c r="S105" s="1">
        <v>307.27999999999997</v>
      </c>
      <c r="T105" s="1">
        <v>377</v>
      </c>
      <c r="U105" s="1">
        <v>1.82</v>
      </c>
      <c r="V105" s="1">
        <v>9.4</v>
      </c>
      <c r="W105" s="1">
        <v>2.5000000000000001E-2</v>
      </c>
      <c r="X105" s="1">
        <f t="shared" si="11"/>
        <v>25</v>
      </c>
      <c r="Y105" s="1">
        <v>0.1</v>
      </c>
      <c r="Z105" s="1">
        <v>5.0000000000000001E-3</v>
      </c>
      <c r="AA105" s="1">
        <v>2.8985507246376701</v>
      </c>
      <c r="AB105" s="1">
        <v>5</v>
      </c>
      <c r="AC105" s="1">
        <v>25</v>
      </c>
      <c r="AH105" s="1">
        <v>0.62153846153846204</v>
      </c>
      <c r="AJ105" s="1">
        <f t="shared" si="15"/>
        <v>0.37846153846153796</v>
      </c>
      <c r="AK105" s="1">
        <f t="shared" si="13"/>
        <v>-0.97164082695732135</v>
      </c>
      <c r="AM105">
        <v>14</v>
      </c>
      <c r="AN105">
        <f>IF(ISNUMBER(AJ105),IF(AJ105&gt;=0.05,1,0),"")</f>
        <v>1</v>
      </c>
      <c r="AO105">
        <f>IF(ISNUMBER(AJ105),IF(AJ105&lt;0.005,1,0),"")</f>
        <v>0</v>
      </c>
      <c r="AQ105" s="34"/>
      <c r="AR105" s="35"/>
      <c r="AS105" s="36"/>
    </row>
    <row r="106" spans="1:45" ht="57" x14ac:dyDescent="0.45">
      <c r="A106" s="1" t="s">
        <v>60</v>
      </c>
      <c r="B106" s="1" t="s">
        <v>56</v>
      </c>
      <c r="C106" s="1">
        <v>107</v>
      </c>
      <c r="D106" s="1">
        <v>253.28</v>
      </c>
      <c r="E106" s="1">
        <v>0.9</v>
      </c>
      <c r="F106" s="1">
        <v>1.5549999999999999</v>
      </c>
      <c r="G106" s="1">
        <v>1.9550000000000001</v>
      </c>
      <c r="H106" s="1">
        <v>0.88</v>
      </c>
      <c r="I106" s="1">
        <v>0.95</v>
      </c>
      <c r="J106" s="1">
        <v>1.59</v>
      </c>
      <c r="K106" s="1" t="s">
        <v>57</v>
      </c>
      <c r="M106" s="1">
        <v>25</v>
      </c>
      <c r="Q106" s="1">
        <v>8.8000000000000007</v>
      </c>
      <c r="R106" s="1" t="s">
        <v>58</v>
      </c>
      <c r="S106" s="1">
        <v>307.27999999999997</v>
      </c>
      <c r="T106" s="1">
        <v>377</v>
      </c>
      <c r="U106" s="1">
        <v>1.82</v>
      </c>
      <c r="V106" s="1">
        <v>9.4</v>
      </c>
      <c r="W106" s="1">
        <v>2.5000000000000001E-2</v>
      </c>
      <c r="X106" s="1">
        <f t="shared" si="11"/>
        <v>25</v>
      </c>
      <c r="Y106" s="1">
        <v>0.1</v>
      </c>
      <c r="Z106" s="1">
        <v>5.0000000000000001E-3</v>
      </c>
      <c r="AA106" s="1">
        <v>5</v>
      </c>
      <c r="AB106" s="1">
        <v>5</v>
      </c>
      <c r="AC106" s="1">
        <v>25</v>
      </c>
      <c r="AH106" s="1">
        <v>0.64307692307692299</v>
      </c>
      <c r="AJ106" s="1">
        <f t="shared" si="15"/>
        <v>0.35692307692307701</v>
      </c>
      <c r="AK106" s="1">
        <f t="shared" si="13"/>
        <v>-1.0302349912233726</v>
      </c>
      <c r="AM106">
        <v>14</v>
      </c>
      <c r="AN106">
        <f>IF(ISNUMBER(AJ106),IF(AJ106&gt;=0.05,1,0),"")</f>
        <v>1</v>
      </c>
      <c r="AO106">
        <f>IF(ISNUMBER(AJ106),IF(AJ106&lt;0.005,1,0),"")</f>
        <v>0</v>
      </c>
      <c r="AQ106" s="34"/>
      <c r="AR106" s="35"/>
      <c r="AS106" s="36"/>
    </row>
    <row r="107" spans="1:45" ht="57" x14ac:dyDescent="0.45">
      <c r="A107" s="1" t="s">
        <v>60</v>
      </c>
      <c r="B107" s="1" t="s">
        <v>56</v>
      </c>
      <c r="C107" s="1">
        <v>107</v>
      </c>
      <c r="D107" s="1">
        <v>253.28</v>
      </c>
      <c r="E107" s="1">
        <v>0.9</v>
      </c>
      <c r="F107" s="1">
        <v>1.5549999999999999</v>
      </c>
      <c r="G107" s="1">
        <v>1.9550000000000001</v>
      </c>
      <c r="H107" s="1">
        <v>0.88</v>
      </c>
      <c r="I107" s="1">
        <v>0.95</v>
      </c>
      <c r="J107" s="1">
        <v>1.59</v>
      </c>
      <c r="K107" s="1" t="s">
        <v>57</v>
      </c>
      <c r="M107" s="1">
        <v>25</v>
      </c>
      <c r="Q107" s="1">
        <v>8.8000000000000007</v>
      </c>
      <c r="R107" s="1" t="s">
        <v>58</v>
      </c>
      <c r="S107" s="1">
        <v>307.27999999999997</v>
      </c>
      <c r="T107" s="1">
        <v>377</v>
      </c>
      <c r="U107" s="1">
        <v>1.82</v>
      </c>
      <c r="V107" s="1">
        <v>9.4</v>
      </c>
      <c r="W107" s="1">
        <v>2.5000000000000001E-2</v>
      </c>
      <c r="X107" s="1">
        <f t="shared" si="11"/>
        <v>25</v>
      </c>
      <c r="Y107" s="1">
        <v>0.1</v>
      </c>
      <c r="Z107" s="1">
        <v>5.0000000000000001E-3</v>
      </c>
      <c r="AA107" s="1">
        <v>9.7101449275362395</v>
      </c>
      <c r="AB107" s="1">
        <v>5</v>
      </c>
      <c r="AC107" s="1">
        <v>25</v>
      </c>
      <c r="AH107" s="1">
        <v>0.64923076923076906</v>
      </c>
      <c r="AJ107" s="1">
        <f t="shared" si="15"/>
        <v>0.35076923076923094</v>
      </c>
      <c r="AK107" s="1">
        <f t="shared" si="13"/>
        <v>-1.0476267339352414</v>
      </c>
      <c r="AM107">
        <v>14</v>
      </c>
      <c r="AN107">
        <f>IF(ISNUMBER(AJ107),IF(AJ107&gt;=0.05,1,0),"")</f>
        <v>1</v>
      </c>
      <c r="AO107">
        <f>IF(ISNUMBER(AJ107),IF(AJ107&lt;0.005,1,0),"")</f>
        <v>0</v>
      </c>
      <c r="AQ107" s="34"/>
      <c r="AR107" s="35"/>
      <c r="AS107" s="36"/>
    </row>
    <row r="108" spans="1:45" ht="57" x14ac:dyDescent="0.45">
      <c r="A108" s="1" t="s">
        <v>60</v>
      </c>
      <c r="B108" s="1" t="s">
        <v>56</v>
      </c>
      <c r="C108" s="1">
        <v>107</v>
      </c>
      <c r="D108" s="1">
        <v>253.28</v>
      </c>
      <c r="E108" s="1">
        <v>0.9</v>
      </c>
      <c r="F108" s="1">
        <v>1.5549999999999999</v>
      </c>
      <c r="G108" s="1">
        <v>1.9550000000000001</v>
      </c>
      <c r="H108" s="1">
        <v>0.88</v>
      </c>
      <c r="I108" s="1">
        <v>0.95</v>
      </c>
      <c r="J108" s="1">
        <v>1.59</v>
      </c>
      <c r="K108" s="1" t="s">
        <v>57</v>
      </c>
      <c r="M108" s="1">
        <v>25</v>
      </c>
      <c r="Q108" s="1">
        <v>8.8000000000000007</v>
      </c>
      <c r="R108" s="1" t="s">
        <v>58</v>
      </c>
      <c r="S108" s="1">
        <v>307.27999999999997</v>
      </c>
      <c r="T108" s="1">
        <v>377</v>
      </c>
      <c r="U108" s="1">
        <v>1.82</v>
      </c>
      <c r="V108" s="1">
        <v>9.4</v>
      </c>
      <c r="W108" s="1">
        <v>2.5000000000000001E-2</v>
      </c>
      <c r="X108" s="1">
        <f t="shared" si="11"/>
        <v>25</v>
      </c>
      <c r="Y108" s="1">
        <v>0.1</v>
      </c>
      <c r="Z108" s="1">
        <v>5.0000000000000001E-3</v>
      </c>
      <c r="AA108" s="1">
        <v>14.492753623188401</v>
      </c>
      <c r="AB108" s="1">
        <v>5</v>
      </c>
      <c r="AC108" s="1">
        <v>25</v>
      </c>
      <c r="AH108" s="1">
        <v>0.66461538461538505</v>
      </c>
      <c r="AJ108" s="1">
        <f t="shared" si="15"/>
        <v>0.33538461538461495</v>
      </c>
      <c r="AK108" s="1">
        <f t="shared" si="13"/>
        <v>-1.0924773001005952</v>
      </c>
      <c r="AM108">
        <v>14</v>
      </c>
      <c r="AN108">
        <f>IF(ISNUMBER(AJ108),IF(AJ108&gt;=0.05,1,0),"")</f>
        <v>1</v>
      </c>
      <c r="AO108">
        <f>IF(ISNUMBER(AJ108),IF(AJ108&lt;0.005,1,0),"")</f>
        <v>0</v>
      </c>
      <c r="AQ108" s="34"/>
      <c r="AR108" s="35"/>
      <c r="AS108" s="36"/>
    </row>
    <row r="109" spans="1:45" ht="57" x14ac:dyDescent="0.45">
      <c r="A109" s="1" t="s">
        <v>60</v>
      </c>
      <c r="B109" s="1" t="s">
        <v>56</v>
      </c>
      <c r="C109" s="1">
        <v>107</v>
      </c>
      <c r="D109" s="1">
        <v>253.28</v>
      </c>
      <c r="E109" s="1">
        <v>0.9</v>
      </c>
      <c r="F109" s="1">
        <v>1.5549999999999999</v>
      </c>
      <c r="G109" s="1">
        <v>1.9550000000000001</v>
      </c>
      <c r="H109" s="1">
        <v>0.88</v>
      </c>
      <c r="I109" s="1">
        <v>0.95</v>
      </c>
      <c r="J109" s="1">
        <v>1.59</v>
      </c>
      <c r="K109" s="1" t="s">
        <v>57</v>
      </c>
      <c r="M109" s="1">
        <v>25</v>
      </c>
      <c r="Q109" s="1">
        <v>8.8000000000000007</v>
      </c>
      <c r="R109" s="1" t="s">
        <v>58</v>
      </c>
      <c r="S109" s="1">
        <v>307.27999999999997</v>
      </c>
      <c r="T109" s="1">
        <v>377</v>
      </c>
      <c r="U109" s="1">
        <v>1.82</v>
      </c>
      <c r="V109" s="1">
        <v>9.4</v>
      </c>
      <c r="W109" s="1">
        <v>2.5000000000000001E-2</v>
      </c>
      <c r="X109" s="1">
        <f t="shared" si="11"/>
        <v>25</v>
      </c>
      <c r="Y109" s="1">
        <v>0.1</v>
      </c>
      <c r="Z109" s="1">
        <v>5.0000000000000001E-3</v>
      </c>
      <c r="AA109" s="1">
        <v>19.347826086956498</v>
      </c>
      <c r="AB109" s="1">
        <v>5</v>
      </c>
      <c r="AC109" s="1">
        <v>25</v>
      </c>
      <c r="AH109" s="1">
        <v>0.66769230769230803</v>
      </c>
      <c r="AJ109" s="1">
        <f t="shared" si="15"/>
        <v>0.33230769230769197</v>
      </c>
      <c r="AK109" s="1">
        <f t="shared" si="13"/>
        <v>-1.1016939552055187</v>
      </c>
      <c r="AM109">
        <v>14</v>
      </c>
      <c r="AN109">
        <f>IF(ISNUMBER(AJ109),IF(AJ109&gt;=0.05,1,0),"")</f>
        <v>1</v>
      </c>
      <c r="AO109">
        <f>IF(ISNUMBER(AJ109),IF(AJ109&lt;0.005,1,0),"")</f>
        <v>0</v>
      </c>
      <c r="AQ109" s="34"/>
      <c r="AR109" s="35"/>
      <c r="AS109" s="36"/>
    </row>
    <row r="110" spans="1:45" ht="57" x14ac:dyDescent="0.45">
      <c r="A110" s="1" t="s">
        <v>60</v>
      </c>
      <c r="B110" s="1" t="s">
        <v>56</v>
      </c>
      <c r="C110" s="1">
        <v>107</v>
      </c>
      <c r="D110" s="1">
        <v>253.28</v>
      </c>
      <c r="E110" s="1">
        <v>0.9</v>
      </c>
      <c r="F110" s="1">
        <v>1.5549999999999999</v>
      </c>
      <c r="G110" s="1">
        <v>1.9550000000000001</v>
      </c>
      <c r="H110" s="1">
        <v>0.88</v>
      </c>
      <c r="I110" s="1">
        <v>0.95</v>
      </c>
      <c r="J110" s="1">
        <v>1.59</v>
      </c>
      <c r="K110" s="1" t="s">
        <v>57</v>
      </c>
      <c r="M110" s="1">
        <v>25</v>
      </c>
      <c r="Q110" s="1">
        <v>8.8000000000000007</v>
      </c>
      <c r="R110" s="1" t="s">
        <v>58</v>
      </c>
      <c r="S110" s="1">
        <v>307.27999999999997</v>
      </c>
      <c r="T110" s="1">
        <v>377</v>
      </c>
      <c r="U110" s="1">
        <v>1.82</v>
      </c>
      <c r="V110" s="1">
        <v>9.4</v>
      </c>
      <c r="W110" s="1">
        <v>2.5000000000000001E-2</v>
      </c>
      <c r="X110" s="1">
        <f t="shared" si="11"/>
        <v>25</v>
      </c>
      <c r="Y110" s="1">
        <v>0.1</v>
      </c>
      <c r="Z110" s="1">
        <v>5.0000000000000001E-3</v>
      </c>
      <c r="AA110" s="1">
        <v>28.985507246376802</v>
      </c>
      <c r="AB110" s="1">
        <v>5</v>
      </c>
      <c r="AC110" s="1">
        <v>25</v>
      </c>
      <c r="AH110" s="1">
        <v>0.72</v>
      </c>
      <c r="AJ110" s="1">
        <f t="shared" si="15"/>
        <v>0.28000000000000003</v>
      </c>
      <c r="AK110" s="1">
        <f t="shared" si="13"/>
        <v>-1.2729656758128873</v>
      </c>
      <c r="AM110">
        <v>14</v>
      </c>
      <c r="AN110">
        <f>IF(ISNUMBER(AJ110),IF(AJ110&gt;=0.05,1,0),"")</f>
        <v>1</v>
      </c>
      <c r="AO110">
        <f>IF(ISNUMBER(AJ110),IF(AJ110&lt;0.005,1,0),"")</f>
        <v>0</v>
      </c>
      <c r="AQ110" s="34"/>
      <c r="AR110" s="35"/>
      <c r="AS110" s="36"/>
    </row>
    <row r="111" spans="1:45" ht="57" x14ac:dyDescent="0.45">
      <c r="A111" s="1" t="s">
        <v>60</v>
      </c>
      <c r="B111" s="1" t="s">
        <v>56</v>
      </c>
      <c r="C111" s="1">
        <v>107</v>
      </c>
      <c r="D111" s="1">
        <v>253.28</v>
      </c>
      <c r="E111" s="1">
        <v>0.9</v>
      </c>
      <c r="F111" s="1">
        <v>1.5549999999999999</v>
      </c>
      <c r="G111" s="1">
        <v>1.9550000000000001</v>
      </c>
      <c r="H111" s="1">
        <v>0.88</v>
      </c>
      <c r="I111" s="1">
        <v>0.95</v>
      </c>
      <c r="J111" s="1">
        <v>1.59</v>
      </c>
      <c r="K111" s="1" t="s">
        <v>57</v>
      </c>
      <c r="M111" s="1">
        <v>25</v>
      </c>
      <c r="Q111" s="1">
        <v>8.8000000000000007</v>
      </c>
      <c r="R111" s="1" t="s">
        <v>58</v>
      </c>
      <c r="S111" s="1">
        <v>307.27999999999997</v>
      </c>
      <c r="T111" s="1">
        <v>377</v>
      </c>
      <c r="U111" s="1">
        <v>1.82</v>
      </c>
      <c r="V111" s="1">
        <v>9.4</v>
      </c>
      <c r="W111" s="1">
        <v>2.5000000000000001E-2</v>
      </c>
      <c r="X111" s="1">
        <f t="shared" si="11"/>
        <v>25</v>
      </c>
      <c r="Y111" s="1">
        <v>0.1</v>
      </c>
      <c r="Z111" s="1">
        <v>5.0000000000000001E-3</v>
      </c>
      <c r="AA111" s="1">
        <v>0</v>
      </c>
      <c r="AB111" s="1">
        <v>11</v>
      </c>
      <c r="AC111" s="1">
        <v>25</v>
      </c>
      <c r="AH111" s="1">
        <v>0</v>
      </c>
      <c r="AI111" s="1">
        <f>-AK118/AA118</f>
        <v>0.55746796990097514</v>
      </c>
      <c r="AJ111" s="1">
        <f t="shared" ref="AJ111" si="19">1-AH111</f>
        <v>1</v>
      </c>
      <c r="AK111" s="1">
        <f t="shared" si="13"/>
        <v>0</v>
      </c>
      <c r="AL111" s="1">
        <v>0.56337798214632595</v>
      </c>
      <c r="AM111">
        <v>15</v>
      </c>
      <c r="AN111">
        <f>IF(ISNUMBER(AJ111),IF(AJ111&gt;=0.05,1,0),"")</f>
        <v>1</v>
      </c>
      <c r="AO111">
        <f>IF(ISNUMBER(AJ111),IF(AJ111&lt;0.005,1,0),"")</f>
        <v>0</v>
      </c>
      <c r="AP111">
        <f>IFERROR(MATCH(0,AN111:AN118,0)-1,8)</f>
        <v>4</v>
      </c>
      <c r="AQ111" s="34">
        <f>IF(AP111&lt;3,"n&lt;3",IFERROR(-SLOPE(AK111:INDEX(AK111:AK118,AP111),AA111:INDEX(AA111:AA118,AP111)),"no fit"))</f>
        <v>0.33093576806849079</v>
      </c>
      <c r="AR111" s="35">
        <f>IF(AP111&lt;3,"",IFERROR(RSQ(AK111:INDEX(AK111:AK118,AP111),AA111:INDEX(AA111:AA118,AP111)),"flat"))</f>
        <v>0.99760845086890337</v>
      </c>
      <c r="AS111" s="36">
        <f>IFERROR(AQ111/AI111,"")</f>
        <v>0.59364086537075123</v>
      </c>
    </row>
    <row r="112" spans="1:45" ht="57" x14ac:dyDescent="0.45">
      <c r="A112" s="1" t="s">
        <v>60</v>
      </c>
      <c r="B112" s="1" t="s">
        <v>56</v>
      </c>
      <c r="C112" s="1">
        <v>107</v>
      </c>
      <c r="D112" s="1">
        <v>253.28</v>
      </c>
      <c r="E112" s="1">
        <v>0.9</v>
      </c>
      <c r="F112" s="1">
        <v>1.5549999999999999</v>
      </c>
      <c r="G112" s="1">
        <v>1.9550000000000001</v>
      </c>
      <c r="H112" s="1">
        <v>0.88</v>
      </c>
      <c r="I112" s="1">
        <v>0.95</v>
      </c>
      <c r="J112" s="1">
        <v>1.59</v>
      </c>
      <c r="K112" s="1" t="s">
        <v>57</v>
      </c>
      <c r="M112" s="1">
        <v>25</v>
      </c>
      <c r="Q112" s="1">
        <v>8.8000000000000007</v>
      </c>
      <c r="R112" s="1" t="s">
        <v>58</v>
      </c>
      <c r="S112" s="1">
        <v>307.27999999999997</v>
      </c>
      <c r="T112" s="1">
        <v>377</v>
      </c>
      <c r="U112" s="1">
        <v>1.82</v>
      </c>
      <c r="V112" s="1">
        <v>9.4</v>
      </c>
      <c r="W112" s="1">
        <v>2.5000000000000001E-2</v>
      </c>
      <c r="X112" s="1">
        <f t="shared" si="11"/>
        <v>25</v>
      </c>
      <c r="Y112" s="1">
        <v>0.1</v>
      </c>
      <c r="Z112" s="1">
        <v>5.0000000000000001E-3</v>
      </c>
      <c r="AA112" s="1">
        <v>1.0869565217391199</v>
      </c>
      <c r="AB112" s="1">
        <v>11</v>
      </c>
      <c r="AC112" s="1">
        <v>25</v>
      </c>
      <c r="AH112" s="1">
        <v>0.35692307692307701</v>
      </c>
      <c r="AJ112" s="1">
        <f t="shared" si="15"/>
        <v>0.64307692307692299</v>
      </c>
      <c r="AK112" s="1">
        <f t="shared" si="13"/>
        <v>-0.44149093036492659</v>
      </c>
      <c r="AM112">
        <v>15</v>
      </c>
      <c r="AN112">
        <f>IF(ISNUMBER(AJ112),IF(AJ112&gt;=0.05,1,0),"")</f>
        <v>1</v>
      </c>
      <c r="AO112">
        <f>IF(ISNUMBER(AJ112),IF(AJ112&lt;0.005,1,0),"")</f>
        <v>0</v>
      </c>
      <c r="AQ112" s="34"/>
      <c r="AR112" s="35"/>
      <c r="AS112" s="36"/>
    </row>
    <row r="113" spans="1:45" ht="57" x14ac:dyDescent="0.45">
      <c r="A113" s="1" t="s">
        <v>60</v>
      </c>
      <c r="B113" s="1" t="s">
        <v>56</v>
      </c>
      <c r="C113" s="1">
        <v>107</v>
      </c>
      <c r="D113" s="1">
        <v>253.28</v>
      </c>
      <c r="E113" s="1">
        <v>0.9</v>
      </c>
      <c r="F113" s="1">
        <v>1.5549999999999999</v>
      </c>
      <c r="G113" s="1">
        <v>1.9550000000000001</v>
      </c>
      <c r="H113" s="1">
        <v>0.88</v>
      </c>
      <c r="I113" s="1">
        <v>0.95</v>
      </c>
      <c r="J113" s="1">
        <v>1.59</v>
      </c>
      <c r="K113" s="1" t="s">
        <v>57</v>
      </c>
      <c r="M113" s="1">
        <v>25</v>
      </c>
      <c r="Q113" s="1">
        <v>8.8000000000000007</v>
      </c>
      <c r="R113" s="1" t="s">
        <v>58</v>
      </c>
      <c r="S113" s="1">
        <v>307.27999999999997</v>
      </c>
      <c r="T113" s="1">
        <v>377</v>
      </c>
      <c r="U113" s="1">
        <v>1.82</v>
      </c>
      <c r="V113" s="1">
        <v>9.4</v>
      </c>
      <c r="W113" s="1">
        <v>2.5000000000000001E-2</v>
      </c>
      <c r="X113" s="1">
        <f t="shared" si="11"/>
        <v>25</v>
      </c>
      <c r="Y113" s="1">
        <v>0.1</v>
      </c>
      <c r="Z113" s="1">
        <v>5.0000000000000001E-3</v>
      </c>
      <c r="AA113" s="1">
        <v>3.0434782608695601</v>
      </c>
      <c r="AB113" s="1">
        <v>11</v>
      </c>
      <c r="AC113" s="1">
        <v>25</v>
      </c>
      <c r="AH113" s="1">
        <v>0.65538461538461501</v>
      </c>
      <c r="AJ113" s="1">
        <f t="shared" si="15"/>
        <v>0.34461538461538499</v>
      </c>
      <c r="AK113" s="1">
        <f t="shared" si="13"/>
        <v>-1.0653263110346418</v>
      </c>
      <c r="AM113">
        <v>15</v>
      </c>
      <c r="AN113">
        <f>IF(ISNUMBER(AJ113),IF(AJ113&gt;=0.05,1,0),"")</f>
        <v>1</v>
      </c>
      <c r="AO113">
        <f>IF(ISNUMBER(AJ113),IF(AJ113&lt;0.005,1,0),"")</f>
        <v>0</v>
      </c>
      <c r="AQ113" s="34"/>
      <c r="AR113" s="35"/>
      <c r="AS113" s="36"/>
    </row>
    <row r="114" spans="1:45" ht="57" x14ac:dyDescent="0.45">
      <c r="A114" s="1" t="s">
        <v>60</v>
      </c>
      <c r="B114" s="1" t="s">
        <v>56</v>
      </c>
      <c r="C114" s="1">
        <v>107</v>
      </c>
      <c r="D114" s="1">
        <v>253.28</v>
      </c>
      <c r="E114" s="1">
        <v>0.9</v>
      </c>
      <c r="F114" s="1">
        <v>1.5549999999999999</v>
      </c>
      <c r="G114" s="1">
        <v>1.9550000000000001</v>
      </c>
      <c r="H114" s="1">
        <v>0.88</v>
      </c>
      <c r="I114" s="1">
        <v>0.95</v>
      </c>
      <c r="J114" s="1">
        <v>1.59</v>
      </c>
      <c r="K114" s="1" t="s">
        <v>57</v>
      </c>
      <c r="M114" s="1">
        <v>25</v>
      </c>
      <c r="Q114" s="1">
        <v>8.8000000000000007</v>
      </c>
      <c r="R114" s="1" t="s">
        <v>58</v>
      </c>
      <c r="S114" s="1">
        <v>307.27999999999997</v>
      </c>
      <c r="T114" s="1">
        <v>377</v>
      </c>
      <c r="U114" s="1">
        <v>1.82</v>
      </c>
      <c r="V114" s="1">
        <v>9.4</v>
      </c>
      <c r="W114" s="1">
        <v>2.5000000000000001E-2</v>
      </c>
      <c r="X114" s="1">
        <f t="shared" si="11"/>
        <v>25</v>
      </c>
      <c r="Y114" s="1">
        <v>0.1</v>
      </c>
      <c r="Z114" s="1">
        <v>5.0000000000000001E-3</v>
      </c>
      <c r="AA114" s="1">
        <v>5.1449275362318803</v>
      </c>
      <c r="AB114" s="1">
        <v>11</v>
      </c>
      <c r="AC114" s="1">
        <v>25</v>
      </c>
      <c r="AH114" s="1">
        <v>0.82153846153846199</v>
      </c>
      <c r="AJ114" s="1">
        <f t="shared" si="15"/>
        <v>0.17846153846153801</v>
      </c>
      <c r="AK114" s="1">
        <f t="shared" si="13"/>
        <v>-1.7233821717833206</v>
      </c>
      <c r="AM114">
        <v>15</v>
      </c>
      <c r="AN114">
        <f>IF(ISNUMBER(AJ114),IF(AJ114&gt;=0.05,1,0),"")</f>
        <v>1</v>
      </c>
      <c r="AO114">
        <f>IF(ISNUMBER(AJ114),IF(AJ114&lt;0.005,1,0),"")</f>
        <v>0</v>
      </c>
      <c r="AQ114" s="34"/>
      <c r="AR114" s="35"/>
      <c r="AS114" s="36"/>
    </row>
    <row r="115" spans="1:45" ht="57" x14ac:dyDescent="0.45">
      <c r="A115" s="1" t="s">
        <v>60</v>
      </c>
      <c r="B115" s="1" t="s">
        <v>56</v>
      </c>
      <c r="C115" s="1">
        <v>107</v>
      </c>
      <c r="D115" s="1">
        <v>253.28</v>
      </c>
      <c r="E115" s="1">
        <v>0.9</v>
      </c>
      <c r="F115" s="1">
        <v>1.5549999999999999</v>
      </c>
      <c r="G115" s="1">
        <v>1.9550000000000001</v>
      </c>
      <c r="H115" s="1">
        <v>0.88</v>
      </c>
      <c r="I115" s="1">
        <v>0.95</v>
      </c>
      <c r="J115" s="1">
        <v>1.59</v>
      </c>
      <c r="K115" s="1" t="s">
        <v>57</v>
      </c>
      <c r="M115" s="1">
        <v>25</v>
      </c>
      <c r="Q115" s="1">
        <v>8.8000000000000007</v>
      </c>
      <c r="R115" s="1" t="s">
        <v>58</v>
      </c>
      <c r="S115" s="1">
        <v>307.27999999999997</v>
      </c>
      <c r="T115" s="1">
        <v>377</v>
      </c>
      <c r="U115" s="1">
        <v>1.82</v>
      </c>
      <c r="V115" s="1">
        <v>9.4</v>
      </c>
      <c r="W115" s="1">
        <v>2.5000000000000001E-2</v>
      </c>
      <c r="X115" s="1">
        <f t="shared" si="11"/>
        <v>25</v>
      </c>
      <c r="Y115" s="1">
        <v>0.1</v>
      </c>
      <c r="Z115" s="1">
        <v>5.0000000000000001E-3</v>
      </c>
      <c r="AA115" s="1">
        <v>9.85507246376811</v>
      </c>
      <c r="AB115" s="1">
        <v>11</v>
      </c>
      <c r="AC115" s="1">
        <v>25</v>
      </c>
      <c r="AH115" s="1">
        <v>0.96307692307692327</v>
      </c>
      <c r="AJ115" s="1">
        <f t="shared" si="15"/>
        <v>3.6923076923076725E-2</v>
      </c>
      <c r="AK115" s="1">
        <f t="shared" si="13"/>
        <v>-3.2989185325417427</v>
      </c>
      <c r="AM115">
        <v>15</v>
      </c>
      <c r="AN115">
        <f>IF(ISNUMBER(AJ115),IF(AJ115&gt;=0.05,1,0),"")</f>
        <v>0</v>
      </c>
      <c r="AO115">
        <f>IF(ISNUMBER(AJ115),IF(AJ115&lt;0.005,1,0),"")</f>
        <v>0</v>
      </c>
      <c r="AQ115" s="34"/>
      <c r="AR115" s="35"/>
      <c r="AS115" s="36"/>
    </row>
    <row r="116" spans="1:45" ht="57" x14ac:dyDescent="0.45">
      <c r="A116" s="1" t="s">
        <v>60</v>
      </c>
      <c r="B116" s="1" t="s">
        <v>56</v>
      </c>
      <c r="C116" s="1">
        <v>107</v>
      </c>
      <c r="D116" s="1">
        <v>253.28</v>
      </c>
      <c r="E116" s="1">
        <v>0.9</v>
      </c>
      <c r="F116" s="1">
        <v>1.5549999999999999</v>
      </c>
      <c r="G116" s="1">
        <v>1.9550000000000001</v>
      </c>
      <c r="H116" s="1">
        <v>0.88</v>
      </c>
      <c r="I116" s="1">
        <v>0.95</v>
      </c>
      <c r="J116" s="1">
        <v>1.59</v>
      </c>
      <c r="K116" s="1" t="s">
        <v>57</v>
      </c>
      <c r="M116" s="1">
        <v>25</v>
      </c>
      <c r="Q116" s="1">
        <v>8.8000000000000007</v>
      </c>
      <c r="R116" s="1" t="s">
        <v>58</v>
      </c>
      <c r="S116" s="1">
        <v>307.27999999999997</v>
      </c>
      <c r="T116" s="1">
        <v>377</v>
      </c>
      <c r="U116" s="1">
        <v>1.82</v>
      </c>
      <c r="V116" s="1">
        <v>9.4</v>
      </c>
      <c r="W116" s="1">
        <v>2.5000000000000001E-2</v>
      </c>
      <c r="X116" s="1">
        <f t="shared" si="11"/>
        <v>25</v>
      </c>
      <c r="Y116" s="1">
        <v>0.1</v>
      </c>
      <c r="Z116" s="1">
        <v>5.0000000000000001E-3</v>
      </c>
      <c r="AA116" s="1">
        <v>14.6376811594202</v>
      </c>
      <c r="AB116" s="1">
        <v>11</v>
      </c>
      <c r="AC116" s="1">
        <v>25</v>
      </c>
      <c r="AH116" s="1">
        <v>0.99076923076923074</v>
      </c>
      <c r="AJ116" s="1">
        <f t="shared" si="15"/>
        <v>9.2307692307692646E-3</v>
      </c>
      <c r="AK116" s="1">
        <f t="shared" si="13"/>
        <v>-4.6852128936616237</v>
      </c>
      <c r="AM116">
        <v>15</v>
      </c>
      <c r="AN116">
        <f>IF(ISNUMBER(AJ116),IF(AJ116&gt;=0.05,1,0),"")</f>
        <v>0</v>
      </c>
      <c r="AO116">
        <f>IF(ISNUMBER(AJ116),IF(AJ116&lt;0.005,1,0),"")</f>
        <v>0</v>
      </c>
      <c r="AQ116" s="34"/>
      <c r="AR116" s="35"/>
      <c r="AS116" s="36"/>
    </row>
    <row r="117" spans="1:45" ht="57" x14ac:dyDescent="0.45">
      <c r="A117" s="1" t="s">
        <v>60</v>
      </c>
      <c r="B117" s="1" t="s">
        <v>56</v>
      </c>
      <c r="C117" s="1">
        <v>107</v>
      </c>
      <c r="D117" s="1">
        <v>253.28</v>
      </c>
      <c r="E117" s="1">
        <v>0.9</v>
      </c>
      <c r="F117" s="1">
        <v>1.5549999999999999</v>
      </c>
      <c r="G117" s="1">
        <v>1.9550000000000001</v>
      </c>
      <c r="H117" s="1">
        <v>0.88</v>
      </c>
      <c r="I117" s="1">
        <v>0.95</v>
      </c>
      <c r="J117" s="1">
        <v>1.59</v>
      </c>
      <c r="K117" s="1" t="s">
        <v>57</v>
      </c>
      <c r="M117" s="1">
        <v>25</v>
      </c>
      <c r="Q117" s="1">
        <v>8.8000000000000007</v>
      </c>
      <c r="R117" s="1" t="s">
        <v>58</v>
      </c>
      <c r="S117" s="1">
        <v>307.27999999999997</v>
      </c>
      <c r="T117" s="1">
        <v>377</v>
      </c>
      <c r="U117" s="1">
        <v>1.82</v>
      </c>
      <c r="V117" s="1">
        <v>9.4</v>
      </c>
      <c r="W117" s="1">
        <v>2.5000000000000001E-2</v>
      </c>
      <c r="X117" s="1">
        <f t="shared" si="11"/>
        <v>25</v>
      </c>
      <c r="Y117" s="1">
        <v>0.1</v>
      </c>
      <c r="Z117" s="1">
        <v>5.0000000000000001E-3</v>
      </c>
      <c r="AA117" s="1">
        <v>19.492753623188399</v>
      </c>
      <c r="AB117" s="1">
        <v>11</v>
      </c>
      <c r="AC117" s="1">
        <v>25</v>
      </c>
      <c r="AH117" s="1">
        <v>0.99692307692307713</v>
      </c>
      <c r="AJ117" s="1">
        <f t="shared" si="15"/>
        <v>3.0769230769228662E-3</v>
      </c>
      <c r="AK117" s="1">
        <f t="shared" si="13"/>
        <v>-5.7838251823298057</v>
      </c>
      <c r="AM117">
        <v>15</v>
      </c>
      <c r="AN117">
        <f>IF(ISNUMBER(AJ117),IF(AJ117&gt;=0.05,1,0),"")</f>
        <v>0</v>
      </c>
      <c r="AO117">
        <f>IF(ISNUMBER(AJ117),IF(AJ117&lt;0.005,1,0),"")</f>
        <v>1</v>
      </c>
      <c r="AQ117" s="34"/>
      <c r="AR117" s="35"/>
      <c r="AS117" s="36"/>
    </row>
    <row r="118" spans="1:45" ht="57" x14ac:dyDescent="0.45">
      <c r="A118" s="1" t="s">
        <v>60</v>
      </c>
      <c r="B118" s="1" t="s">
        <v>56</v>
      </c>
      <c r="C118" s="1">
        <v>107</v>
      </c>
      <c r="D118" s="1">
        <v>253.28</v>
      </c>
      <c r="E118" s="1">
        <v>0.9</v>
      </c>
      <c r="F118" s="1">
        <v>1.5549999999999999</v>
      </c>
      <c r="G118" s="1">
        <v>1.9550000000000001</v>
      </c>
      <c r="H118" s="1">
        <v>0.88</v>
      </c>
      <c r="I118" s="1">
        <v>0.95</v>
      </c>
      <c r="J118" s="1">
        <v>1.59</v>
      </c>
      <c r="K118" s="1" t="s">
        <v>57</v>
      </c>
      <c r="M118" s="1">
        <v>25</v>
      </c>
      <c r="Q118" s="1">
        <v>8.8000000000000007</v>
      </c>
      <c r="R118" s="1" t="s">
        <v>58</v>
      </c>
      <c r="S118" s="1">
        <v>307.27999999999997</v>
      </c>
      <c r="T118" s="1">
        <v>377</v>
      </c>
      <c r="U118" s="1">
        <v>1.82</v>
      </c>
      <c r="V118" s="1">
        <v>9.4</v>
      </c>
      <c r="W118" s="1">
        <v>2.5000000000000001E-2</v>
      </c>
      <c r="X118" s="1">
        <f t="shared" si="11"/>
        <v>25</v>
      </c>
      <c r="Y118" s="1">
        <v>0.1</v>
      </c>
      <c r="Z118" s="1">
        <v>5.0000000000000001E-3</v>
      </c>
      <c r="AA118" s="1">
        <v>28.9130434782608</v>
      </c>
      <c r="AB118" s="1">
        <v>11</v>
      </c>
      <c r="AC118" s="1">
        <v>25</v>
      </c>
      <c r="AH118" s="1">
        <v>0.99999990000000005</v>
      </c>
      <c r="AJ118" s="1">
        <f t="shared" si="15"/>
        <v>9.9999999947364415E-8</v>
      </c>
      <c r="AK118" s="1">
        <f t="shared" si="13"/>
        <v>-16.118095651484676</v>
      </c>
      <c r="AM118">
        <v>15</v>
      </c>
      <c r="AN118">
        <f>IF(ISNUMBER(AJ118),IF(AJ118&gt;=0.05,1,0),"")</f>
        <v>0</v>
      </c>
      <c r="AO118">
        <f>IF(ISNUMBER(AJ118),IF(AJ118&lt;0.005,1,0),"")</f>
        <v>1</v>
      </c>
      <c r="AQ118" s="34"/>
      <c r="AR118" s="35"/>
      <c r="AS118" s="36"/>
    </row>
    <row r="119" spans="1:45" ht="57" x14ac:dyDescent="0.45">
      <c r="A119" s="1" t="s">
        <v>60</v>
      </c>
      <c r="B119" s="1" t="s">
        <v>56</v>
      </c>
      <c r="C119" s="1">
        <v>107</v>
      </c>
      <c r="D119" s="1">
        <v>253.28</v>
      </c>
      <c r="E119" s="1">
        <v>0.9</v>
      </c>
      <c r="F119" s="1">
        <v>1.5549999999999999</v>
      </c>
      <c r="G119" s="1">
        <v>1.9550000000000001</v>
      </c>
      <c r="H119" s="1">
        <v>0.88</v>
      </c>
      <c r="I119" s="1">
        <v>0.95</v>
      </c>
      <c r="J119" s="1">
        <v>1.59</v>
      </c>
      <c r="K119" s="1" t="s">
        <v>57</v>
      </c>
      <c r="M119" s="1">
        <v>25</v>
      </c>
      <c r="Q119" s="1">
        <v>8.8000000000000007</v>
      </c>
      <c r="R119" s="1" t="s">
        <v>58</v>
      </c>
      <c r="S119" s="1">
        <v>307.27999999999997</v>
      </c>
      <c r="T119" s="1">
        <v>377</v>
      </c>
      <c r="U119" s="1">
        <v>1.82</v>
      </c>
      <c r="V119" s="1">
        <v>9.4</v>
      </c>
      <c r="W119" s="1">
        <v>2.5000000000000001E-2</v>
      </c>
      <c r="X119" s="1">
        <f t="shared" si="11"/>
        <v>25</v>
      </c>
      <c r="Y119" s="1">
        <v>0.1</v>
      </c>
      <c r="Z119" s="1">
        <v>5.0000000000000001E-3</v>
      </c>
      <c r="AA119" s="1">
        <v>0</v>
      </c>
      <c r="AB119" s="1">
        <v>7</v>
      </c>
      <c r="AC119" s="1">
        <v>25</v>
      </c>
      <c r="AH119" s="1">
        <v>0</v>
      </c>
      <c r="AI119" s="1">
        <f>-AK126/AA126</f>
        <v>0.14329986150388019</v>
      </c>
      <c r="AJ119" s="1">
        <f t="shared" ref="AJ119" si="20">1-AH119</f>
        <v>1</v>
      </c>
      <c r="AK119" s="1">
        <f t="shared" si="13"/>
        <v>0</v>
      </c>
      <c r="AL119" s="1">
        <v>0.14121300462328201</v>
      </c>
      <c r="AM119">
        <v>16</v>
      </c>
      <c r="AN119">
        <f>IF(ISNUMBER(AJ119),IF(AJ119&gt;=0.05,1,0),"")</f>
        <v>1</v>
      </c>
      <c r="AO119">
        <f>IF(ISNUMBER(AJ119),IF(AJ119&lt;0.005,1,0),"")</f>
        <v>0</v>
      </c>
      <c r="AP119">
        <f>IFERROR(MATCH(0,AN119:AN126,0)-1,8)</f>
        <v>7</v>
      </c>
      <c r="AQ119" s="34">
        <f>IF(AP119&lt;3,"n&lt;3",IFERROR(-SLOPE(AK119:INDEX(AK119:AK126,AP119),AA119:INDEX(AA119:AA126,AP119)),"no fit"))</f>
        <v>0.15001092235932767</v>
      </c>
      <c r="AR119" s="35">
        <f>IF(AP119&lt;3,"",IFERROR(RSQ(AK119:INDEX(AK119:AK126,AP119),AA119:INDEX(AA119:AA126,AP119)),"flat"))</f>
        <v>0.99849820276183177</v>
      </c>
      <c r="AS119" s="36">
        <f>IFERROR(AQ119/AI119,"")</f>
        <v>1.0468322912877746</v>
      </c>
    </row>
    <row r="120" spans="1:45" ht="57" x14ac:dyDescent="0.45">
      <c r="A120" s="1" t="s">
        <v>60</v>
      </c>
      <c r="B120" s="1" t="s">
        <v>56</v>
      </c>
      <c r="C120" s="1">
        <v>107</v>
      </c>
      <c r="D120" s="1">
        <v>253.28</v>
      </c>
      <c r="E120" s="1">
        <v>0.9</v>
      </c>
      <c r="F120" s="1">
        <v>1.5549999999999999</v>
      </c>
      <c r="G120" s="1">
        <v>1.9550000000000001</v>
      </c>
      <c r="H120" s="1">
        <v>0.88</v>
      </c>
      <c r="I120" s="1">
        <v>0.95</v>
      </c>
      <c r="J120" s="1">
        <v>1.59</v>
      </c>
      <c r="K120" s="1" t="s">
        <v>57</v>
      </c>
      <c r="M120" s="1">
        <v>25</v>
      </c>
      <c r="Q120" s="1">
        <v>8.8000000000000007</v>
      </c>
      <c r="R120" s="1" t="s">
        <v>58</v>
      </c>
      <c r="S120" s="1">
        <v>307.27999999999997</v>
      </c>
      <c r="T120" s="1">
        <v>377</v>
      </c>
      <c r="U120" s="1">
        <v>1.82</v>
      </c>
      <c r="V120" s="1">
        <v>9.4</v>
      </c>
      <c r="W120" s="1">
        <v>2.5000000000000001E-2</v>
      </c>
      <c r="X120" s="1">
        <f t="shared" si="11"/>
        <v>25</v>
      </c>
      <c r="Y120" s="1">
        <v>0.1</v>
      </c>
      <c r="Z120" s="1">
        <v>5.0000000000000001E-3</v>
      </c>
      <c r="AA120" s="1">
        <v>1.23188405797101</v>
      </c>
      <c r="AB120" s="1">
        <v>7</v>
      </c>
      <c r="AC120" s="1">
        <v>25</v>
      </c>
      <c r="AH120" s="1">
        <v>0.209230769230769</v>
      </c>
      <c r="AJ120" s="1">
        <f t="shared" si="15"/>
        <v>0.790769230769231</v>
      </c>
      <c r="AK120" s="1">
        <f t="shared" si="13"/>
        <v>-0.23474909743451738</v>
      </c>
      <c r="AM120">
        <v>16</v>
      </c>
      <c r="AN120">
        <f>IF(ISNUMBER(AJ120),IF(AJ120&gt;=0.05,1,0),"")</f>
        <v>1</v>
      </c>
      <c r="AO120">
        <f>IF(ISNUMBER(AJ120),IF(AJ120&lt;0.005,1,0),"")</f>
        <v>0</v>
      </c>
      <c r="AQ120" s="34"/>
      <c r="AR120" s="35"/>
      <c r="AS120" s="36"/>
    </row>
    <row r="121" spans="1:45" ht="57" x14ac:dyDescent="0.45">
      <c r="A121" s="1" t="s">
        <v>60</v>
      </c>
      <c r="B121" s="1" t="s">
        <v>56</v>
      </c>
      <c r="C121" s="1">
        <v>107</v>
      </c>
      <c r="D121" s="1">
        <v>253.28</v>
      </c>
      <c r="E121" s="1">
        <v>0.9</v>
      </c>
      <c r="F121" s="1">
        <v>1.5549999999999999</v>
      </c>
      <c r="G121" s="1">
        <v>1.9550000000000001</v>
      </c>
      <c r="H121" s="1">
        <v>0.88</v>
      </c>
      <c r="I121" s="1">
        <v>0.95</v>
      </c>
      <c r="J121" s="1">
        <v>1.59</v>
      </c>
      <c r="K121" s="1" t="s">
        <v>57</v>
      </c>
      <c r="M121" s="1">
        <v>25</v>
      </c>
      <c r="Q121" s="1">
        <v>8.8000000000000007</v>
      </c>
      <c r="R121" s="1" t="s">
        <v>58</v>
      </c>
      <c r="S121" s="1">
        <v>307.27999999999997</v>
      </c>
      <c r="T121" s="1">
        <v>377</v>
      </c>
      <c r="U121" s="1">
        <v>1.82</v>
      </c>
      <c r="V121" s="1">
        <v>9.4</v>
      </c>
      <c r="W121" s="1">
        <v>2.5000000000000001E-2</v>
      </c>
      <c r="X121" s="1">
        <f t="shared" si="11"/>
        <v>25</v>
      </c>
      <c r="Y121" s="1">
        <v>0.1</v>
      </c>
      <c r="Z121" s="1">
        <v>5.0000000000000001E-3</v>
      </c>
      <c r="AA121" s="1">
        <v>3.11594202898551</v>
      </c>
      <c r="AB121" s="1">
        <v>7</v>
      </c>
      <c r="AC121" s="1">
        <v>25</v>
      </c>
      <c r="AH121" s="1">
        <v>0.34153846153846101</v>
      </c>
      <c r="AJ121" s="1">
        <f t="shared" si="15"/>
        <v>0.65846153846153899</v>
      </c>
      <c r="AK121" s="1">
        <f t="shared" si="13"/>
        <v>-0.41784916730788518</v>
      </c>
      <c r="AM121">
        <v>16</v>
      </c>
      <c r="AN121">
        <f>IF(ISNUMBER(AJ121),IF(AJ121&gt;=0.05,1,0),"")</f>
        <v>1</v>
      </c>
      <c r="AO121">
        <f>IF(ISNUMBER(AJ121),IF(AJ121&lt;0.005,1,0),"")</f>
        <v>0</v>
      </c>
      <c r="AQ121" s="34"/>
      <c r="AR121" s="35"/>
      <c r="AS121" s="36"/>
    </row>
    <row r="122" spans="1:45" ht="57" x14ac:dyDescent="0.45">
      <c r="A122" s="1" t="s">
        <v>60</v>
      </c>
      <c r="B122" s="1" t="s">
        <v>56</v>
      </c>
      <c r="C122" s="1">
        <v>107</v>
      </c>
      <c r="D122" s="1">
        <v>253.28</v>
      </c>
      <c r="E122" s="1">
        <v>0.9</v>
      </c>
      <c r="F122" s="1">
        <v>1.5549999999999999</v>
      </c>
      <c r="G122" s="1">
        <v>1.9550000000000001</v>
      </c>
      <c r="H122" s="1">
        <v>0.88</v>
      </c>
      <c r="I122" s="1">
        <v>0.95</v>
      </c>
      <c r="J122" s="1">
        <v>1.59</v>
      </c>
      <c r="K122" s="1" t="s">
        <v>57</v>
      </c>
      <c r="M122" s="1">
        <v>25</v>
      </c>
      <c r="Q122" s="1">
        <v>8.8000000000000007</v>
      </c>
      <c r="R122" s="1" t="s">
        <v>58</v>
      </c>
      <c r="S122" s="1">
        <v>307.27999999999997</v>
      </c>
      <c r="T122" s="1">
        <v>377</v>
      </c>
      <c r="U122" s="1">
        <v>1.82</v>
      </c>
      <c r="V122" s="1">
        <v>9.4</v>
      </c>
      <c r="W122" s="1">
        <v>2.5000000000000001E-2</v>
      </c>
      <c r="X122" s="1">
        <f t="shared" si="11"/>
        <v>25</v>
      </c>
      <c r="Y122" s="1">
        <v>0.1</v>
      </c>
      <c r="Z122" s="1">
        <v>5.0000000000000001E-3</v>
      </c>
      <c r="AA122" s="1">
        <v>5.1449275362318803</v>
      </c>
      <c r="AB122" s="1">
        <v>7</v>
      </c>
      <c r="AC122" s="1">
        <v>25</v>
      </c>
      <c r="AH122" s="1">
        <v>0.52307692307692299</v>
      </c>
      <c r="AJ122" s="1">
        <f t="shared" si="15"/>
        <v>0.47692307692307701</v>
      </c>
      <c r="AK122" s="1">
        <f t="shared" si="13"/>
        <v>-0.74040006541049064</v>
      </c>
      <c r="AM122">
        <v>16</v>
      </c>
      <c r="AN122">
        <f>IF(ISNUMBER(AJ122),IF(AJ122&gt;=0.05,1,0),"")</f>
        <v>1</v>
      </c>
      <c r="AO122">
        <f>IF(ISNUMBER(AJ122),IF(AJ122&lt;0.005,1,0),"")</f>
        <v>0</v>
      </c>
      <c r="AQ122" s="34"/>
      <c r="AR122" s="35"/>
      <c r="AS122" s="36"/>
    </row>
    <row r="123" spans="1:45" ht="57" x14ac:dyDescent="0.45">
      <c r="A123" s="1" t="s">
        <v>60</v>
      </c>
      <c r="B123" s="1" t="s">
        <v>56</v>
      </c>
      <c r="C123" s="1">
        <v>107</v>
      </c>
      <c r="D123" s="1">
        <v>253.28</v>
      </c>
      <c r="E123" s="1">
        <v>0.9</v>
      </c>
      <c r="F123" s="1">
        <v>1.5549999999999999</v>
      </c>
      <c r="G123" s="1">
        <v>1.9550000000000001</v>
      </c>
      <c r="H123" s="1">
        <v>0.88</v>
      </c>
      <c r="I123" s="1">
        <v>0.95</v>
      </c>
      <c r="J123" s="1">
        <v>1.59</v>
      </c>
      <c r="K123" s="1" t="s">
        <v>57</v>
      </c>
      <c r="M123" s="1">
        <v>25</v>
      </c>
      <c r="Q123" s="1">
        <v>8.8000000000000007</v>
      </c>
      <c r="R123" s="1" t="s">
        <v>58</v>
      </c>
      <c r="S123" s="1">
        <v>307.27999999999997</v>
      </c>
      <c r="T123" s="1">
        <v>377</v>
      </c>
      <c r="U123" s="1">
        <v>1.82</v>
      </c>
      <c r="V123" s="1">
        <v>9.4</v>
      </c>
      <c r="W123" s="1">
        <v>2.5000000000000001E-2</v>
      </c>
      <c r="X123" s="1">
        <f t="shared" si="11"/>
        <v>25</v>
      </c>
      <c r="Y123" s="1">
        <v>0.1</v>
      </c>
      <c r="Z123" s="1">
        <v>5.0000000000000001E-3</v>
      </c>
      <c r="AA123" s="1">
        <v>9.6376811594202891</v>
      </c>
      <c r="AB123" s="1">
        <v>7</v>
      </c>
      <c r="AC123" s="1">
        <v>25</v>
      </c>
      <c r="AH123" s="1">
        <v>0.74769230769230799</v>
      </c>
      <c r="AJ123" s="1">
        <f t="shared" si="15"/>
        <v>0.25230769230769201</v>
      </c>
      <c r="AK123" s="1">
        <f t="shared" si="13"/>
        <v>-1.3771059350654855</v>
      </c>
      <c r="AM123">
        <v>16</v>
      </c>
      <c r="AN123">
        <f>IF(ISNUMBER(AJ123),IF(AJ123&gt;=0.05,1,0),"")</f>
        <v>1</v>
      </c>
      <c r="AO123">
        <f>IF(ISNUMBER(AJ123),IF(AJ123&lt;0.005,1,0),"")</f>
        <v>0</v>
      </c>
      <c r="AQ123" s="34"/>
      <c r="AR123" s="35"/>
      <c r="AS123" s="36"/>
    </row>
    <row r="124" spans="1:45" ht="57" x14ac:dyDescent="0.45">
      <c r="A124" s="1" t="s">
        <v>60</v>
      </c>
      <c r="B124" s="1" t="s">
        <v>56</v>
      </c>
      <c r="C124" s="1">
        <v>107</v>
      </c>
      <c r="D124" s="1">
        <v>253.28</v>
      </c>
      <c r="E124" s="1">
        <v>0.9</v>
      </c>
      <c r="F124" s="1">
        <v>1.5549999999999999</v>
      </c>
      <c r="G124" s="1">
        <v>1.9550000000000001</v>
      </c>
      <c r="H124" s="1">
        <v>0.88</v>
      </c>
      <c r="I124" s="1">
        <v>0.95</v>
      </c>
      <c r="J124" s="1">
        <v>1.59</v>
      </c>
      <c r="K124" s="1" t="s">
        <v>57</v>
      </c>
      <c r="M124" s="1">
        <v>25</v>
      </c>
      <c r="Q124" s="1">
        <v>8.8000000000000007</v>
      </c>
      <c r="R124" s="1" t="s">
        <v>58</v>
      </c>
      <c r="S124" s="1">
        <v>307.27999999999997</v>
      </c>
      <c r="T124" s="1">
        <v>377</v>
      </c>
      <c r="U124" s="1">
        <v>1.82</v>
      </c>
      <c r="V124" s="1">
        <v>9.4</v>
      </c>
      <c r="W124" s="1">
        <v>2.5000000000000001E-2</v>
      </c>
      <c r="X124" s="1">
        <f t="shared" si="11"/>
        <v>25</v>
      </c>
      <c r="Y124" s="1">
        <v>0.1</v>
      </c>
      <c r="Z124" s="1">
        <v>5.0000000000000001E-3</v>
      </c>
      <c r="AA124" s="1">
        <v>14.6376811594202</v>
      </c>
      <c r="AB124" s="1">
        <v>7</v>
      </c>
      <c r="AC124" s="1">
        <v>25</v>
      </c>
      <c r="AH124" s="1">
        <v>0.89230769230769302</v>
      </c>
      <c r="AJ124" s="1">
        <f t="shared" si="15"/>
        <v>0.10769230769230698</v>
      </c>
      <c r="AK124" s="1">
        <f t="shared" si="13"/>
        <v>-2.2284771208403304</v>
      </c>
      <c r="AM124">
        <v>16</v>
      </c>
      <c r="AN124">
        <f>IF(ISNUMBER(AJ124),IF(AJ124&gt;=0.05,1,0),"")</f>
        <v>1</v>
      </c>
      <c r="AO124">
        <f>IF(ISNUMBER(AJ124),IF(AJ124&lt;0.005,1,0),"")</f>
        <v>0</v>
      </c>
      <c r="AQ124" s="34"/>
      <c r="AR124" s="35"/>
      <c r="AS124" s="36"/>
    </row>
    <row r="125" spans="1:45" ht="57" x14ac:dyDescent="0.45">
      <c r="A125" s="1" t="s">
        <v>60</v>
      </c>
      <c r="B125" s="1" t="s">
        <v>56</v>
      </c>
      <c r="C125" s="1">
        <v>107</v>
      </c>
      <c r="D125" s="1">
        <v>253.28</v>
      </c>
      <c r="E125" s="1">
        <v>0.9</v>
      </c>
      <c r="F125" s="1">
        <v>1.5549999999999999</v>
      </c>
      <c r="G125" s="1">
        <v>1.9550000000000001</v>
      </c>
      <c r="H125" s="1">
        <v>0.88</v>
      </c>
      <c r="I125" s="1">
        <v>0.95</v>
      </c>
      <c r="J125" s="1">
        <v>1.59</v>
      </c>
      <c r="K125" s="1" t="s">
        <v>57</v>
      </c>
      <c r="M125" s="1">
        <v>25</v>
      </c>
      <c r="Q125" s="1">
        <v>8.8000000000000007</v>
      </c>
      <c r="R125" s="1" t="s">
        <v>58</v>
      </c>
      <c r="S125" s="1">
        <v>307.27999999999997</v>
      </c>
      <c r="T125" s="1">
        <v>377</v>
      </c>
      <c r="U125" s="1">
        <v>1.82</v>
      </c>
      <c r="V125" s="1">
        <v>9.4</v>
      </c>
      <c r="W125" s="1">
        <v>2.5000000000000001E-2</v>
      </c>
      <c r="X125" s="1">
        <f t="shared" si="11"/>
        <v>25</v>
      </c>
      <c r="Y125" s="1">
        <v>0.1</v>
      </c>
      <c r="Z125" s="1">
        <v>5.0000000000000001E-3</v>
      </c>
      <c r="AA125" s="1">
        <v>19.710144927536199</v>
      </c>
      <c r="AB125" s="1">
        <v>7</v>
      </c>
      <c r="AC125" s="1">
        <v>25</v>
      </c>
      <c r="AH125" s="1">
        <v>0.94769230769230772</v>
      </c>
      <c r="AJ125" s="1">
        <f t="shared" si="15"/>
        <v>5.2307692307692277E-2</v>
      </c>
      <c r="AK125" s="1">
        <f t="shared" si="13"/>
        <v>-2.950611838273522</v>
      </c>
      <c r="AM125">
        <v>16</v>
      </c>
      <c r="AN125">
        <f>IF(ISNUMBER(AJ125),IF(AJ125&gt;=0.05,1,0),"")</f>
        <v>1</v>
      </c>
      <c r="AO125">
        <f>IF(ISNUMBER(AJ125),IF(AJ125&lt;0.005,1,0),"")</f>
        <v>0</v>
      </c>
      <c r="AQ125" s="34"/>
      <c r="AR125" s="35"/>
      <c r="AS125" s="36"/>
    </row>
    <row r="126" spans="1:45" ht="57" x14ac:dyDescent="0.45">
      <c r="A126" s="1" t="s">
        <v>60</v>
      </c>
      <c r="B126" s="1" t="s">
        <v>56</v>
      </c>
      <c r="C126" s="1">
        <v>107</v>
      </c>
      <c r="D126" s="1">
        <v>253.28</v>
      </c>
      <c r="E126" s="1">
        <v>0.9</v>
      </c>
      <c r="F126" s="1">
        <v>1.5549999999999999</v>
      </c>
      <c r="G126" s="1">
        <v>1.9550000000000001</v>
      </c>
      <c r="H126" s="1">
        <v>0.88</v>
      </c>
      <c r="I126" s="1">
        <v>0.95</v>
      </c>
      <c r="J126" s="1">
        <v>1.59</v>
      </c>
      <c r="K126" s="1" t="s">
        <v>57</v>
      </c>
      <c r="M126" s="1">
        <v>25</v>
      </c>
      <c r="Q126" s="1">
        <v>8.8000000000000007</v>
      </c>
      <c r="R126" s="1" t="s">
        <v>58</v>
      </c>
      <c r="S126" s="1">
        <v>307.27999999999997</v>
      </c>
      <c r="T126" s="1">
        <v>377</v>
      </c>
      <c r="U126" s="1">
        <v>1.82</v>
      </c>
      <c r="V126" s="1">
        <v>9.4</v>
      </c>
      <c r="W126" s="1">
        <v>2.5000000000000001E-2</v>
      </c>
      <c r="X126" s="1">
        <f t="shared" si="11"/>
        <v>25</v>
      </c>
      <c r="Y126" s="1">
        <v>0.1</v>
      </c>
      <c r="Z126" s="1">
        <v>5.0000000000000001E-3</v>
      </c>
      <c r="AA126" s="1">
        <v>29.130434782608699</v>
      </c>
      <c r="AB126" s="1">
        <v>7</v>
      </c>
      <c r="AC126" s="1">
        <v>25</v>
      </c>
      <c r="AH126" s="1">
        <v>0.98461538461538467</v>
      </c>
      <c r="AJ126" s="1">
        <f t="shared" si="15"/>
        <v>1.538461538461533E-2</v>
      </c>
      <c r="AK126" s="1">
        <f t="shared" si="13"/>
        <v>-4.1743872698956404</v>
      </c>
      <c r="AM126">
        <v>16</v>
      </c>
      <c r="AN126">
        <f>IF(ISNUMBER(AJ126),IF(AJ126&gt;=0.05,1,0),"")</f>
        <v>0</v>
      </c>
      <c r="AO126">
        <f>IF(ISNUMBER(AJ126),IF(AJ126&lt;0.005,1,0),"")</f>
        <v>0</v>
      </c>
      <c r="AQ126" s="34"/>
      <c r="AR126" s="35"/>
      <c r="AS126" s="36"/>
    </row>
    <row r="127" spans="1:45" ht="57" x14ac:dyDescent="0.45">
      <c r="A127" s="1" t="s">
        <v>60</v>
      </c>
      <c r="B127" s="1" t="s">
        <v>56</v>
      </c>
      <c r="C127" s="1">
        <v>107</v>
      </c>
      <c r="D127" s="1">
        <v>253.28</v>
      </c>
      <c r="E127" s="1">
        <v>0.9</v>
      </c>
      <c r="F127" s="1">
        <v>1.5549999999999999</v>
      </c>
      <c r="G127" s="1">
        <v>1.9550000000000001</v>
      </c>
      <c r="H127" s="1">
        <v>0.88</v>
      </c>
      <c r="I127" s="1">
        <v>0.95</v>
      </c>
      <c r="J127" s="1">
        <v>1.59</v>
      </c>
      <c r="K127" s="1" t="s">
        <v>57</v>
      </c>
      <c r="M127" s="1">
        <v>25</v>
      </c>
      <c r="Q127" s="1">
        <v>8.8000000000000007</v>
      </c>
      <c r="R127" s="1" t="s">
        <v>58</v>
      </c>
      <c r="S127" s="1">
        <v>307.27999999999997</v>
      </c>
      <c r="T127" s="1">
        <v>377</v>
      </c>
      <c r="U127" s="1">
        <v>1.82</v>
      </c>
      <c r="V127" s="1">
        <v>9.4</v>
      </c>
      <c r="W127" s="1">
        <v>2.5000000000000001E-2</v>
      </c>
      <c r="X127" s="1">
        <f t="shared" si="11"/>
        <v>25</v>
      </c>
      <c r="Y127" s="1">
        <v>0.1</v>
      </c>
      <c r="Z127" s="1">
        <v>5.0000000000000001E-3</v>
      </c>
      <c r="AA127" s="1">
        <v>0</v>
      </c>
      <c r="AB127" s="1">
        <v>3</v>
      </c>
      <c r="AC127" s="1">
        <v>25</v>
      </c>
      <c r="AH127" s="1">
        <v>0</v>
      </c>
      <c r="AI127" s="1">
        <f>-AK134/AA134</f>
        <v>2.3420920129470071E-2</v>
      </c>
      <c r="AJ127" s="1">
        <f t="shared" ref="AJ127" si="21">1-AH127</f>
        <v>1</v>
      </c>
      <c r="AK127" s="1">
        <f t="shared" si="13"/>
        <v>0</v>
      </c>
      <c r="AL127" s="1">
        <v>1.3360000803807E-2</v>
      </c>
      <c r="AM127">
        <v>17</v>
      </c>
      <c r="AN127">
        <f>IF(ISNUMBER(AJ127),IF(AJ127&gt;=0.05,1,0),"")</f>
        <v>1</v>
      </c>
      <c r="AO127">
        <f>IF(ISNUMBER(AJ127),IF(AJ127&lt;0.005,1,0),"")</f>
        <v>0</v>
      </c>
      <c r="AP127">
        <f>IFERROR(MATCH(0,AN127:AN134,0)-1,8)</f>
        <v>8</v>
      </c>
      <c r="AQ127" s="34">
        <f>IF(AP127&lt;3,"n&lt;3",IFERROR(-SLOPE(AK127:INDEX(AK127:AK134,AP127),AA127:INDEX(AA127:AA134,AP127)),"no fit"))</f>
        <v>1.7820810480541117E-2</v>
      </c>
      <c r="AR127" s="35">
        <f>IF(AP127&lt;3,"",IFERROR(RSQ(AK127:INDEX(AK127:AK134,AP127),AA127:INDEX(AA127:AA134,AP127)),"flat"))</f>
        <v>0.69044634420307383</v>
      </c>
      <c r="AS127" s="36">
        <f>IFERROR(AQ127/AI127,"")</f>
        <v>0.76089284204157082</v>
      </c>
    </row>
    <row r="128" spans="1:45" ht="57" x14ac:dyDescent="0.45">
      <c r="A128" s="1" t="s">
        <v>60</v>
      </c>
      <c r="B128" s="1" t="s">
        <v>56</v>
      </c>
      <c r="C128" s="1">
        <v>107</v>
      </c>
      <c r="D128" s="1">
        <v>253.28</v>
      </c>
      <c r="E128" s="1">
        <v>0.9</v>
      </c>
      <c r="F128" s="1">
        <v>1.5549999999999999</v>
      </c>
      <c r="G128" s="1">
        <v>1.9550000000000001</v>
      </c>
      <c r="H128" s="1">
        <v>0.88</v>
      </c>
      <c r="I128" s="1">
        <v>0.95</v>
      </c>
      <c r="J128" s="1">
        <v>1.59</v>
      </c>
      <c r="K128" s="1" t="s">
        <v>57</v>
      </c>
      <c r="M128" s="1">
        <v>25</v>
      </c>
      <c r="Q128" s="1">
        <v>8.8000000000000007</v>
      </c>
      <c r="R128" s="1" t="s">
        <v>58</v>
      </c>
      <c r="S128" s="1">
        <v>307.27999999999997</v>
      </c>
      <c r="T128" s="1">
        <v>377</v>
      </c>
      <c r="U128" s="1">
        <v>1.82</v>
      </c>
      <c r="V128" s="1">
        <v>9.4</v>
      </c>
      <c r="W128" s="1">
        <v>2.5000000000000001E-2</v>
      </c>
      <c r="X128" s="1">
        <f t="shared" si="11"/>
        <v>25</v>
      </c>
      <c r="Y128" s="1">
        <v>0.1</v>
      </c>
      <c r="Z128" s="1">
        <v>5.0000000000000001E-3</v>
      </c>
      <c r="AA128" s="1">
        <v>1.01449275362319</v>
      </c>
      <c r="AB128" s="1">
        <v>3</v>
      </c>
      <c r="AC128" s="1">
        <v>25</v>
      </c>
      <c r="AH128" s="1">
        <v>0.26461538461538403</v>
      </c>
      <c r="AJ128" s="1">
        <f t="shared" si="15"/>
        <v>0.73538461538461597</v>
      </c>
      <c r="AK128" s="1">
        <f t="shared" si="13"/>
        <v>-0.307361630398226</v>
      </c>
      <c r="AM128">
        <v>17</v>
      </c>
      <c r="AN128">
        <f>IF(ISNUMBER(AJ128),IF(AJ128&gt;=0.05,1,0),"")</f>
        <v>1</v>
      </c>
      <c r="AO128">
        <f>IF(ISNUMBER(AJ128),IF(AJ128&lt;0.005,1,0),"")</f>
        <v>0</v>
      </c>
      <c r="AQ128" s="34"/>
      <c r="AR128" s="35"/>
      <c r="AS128" s="36"/>
    </row>
    <row r="129" spans="1:45" ht="57" x14ac:dyDescent="0.45">
      <c r="A129" s="1" t="s">
        <v>60</v>
      </c>
      <c r="B129" s="1" t="s">
        <v>56</v>
      </c>
      <c r="C129" s="1">
        <v>107</v>
      </c>
      <c r="D129" s="1">
        <v>253.28</v>
      </c>
      <c r="E129" s="1">
        <v>0.9</v>
      </c>
      <c r="F129" s="1">
        <v>1.5549999999999999</v>
      </c>
      <c r="G129" s="1">
        <v>1.9550000000000001</v>
      </c>
      <c r="H129" s="1">
        <v>0.88</v>
      </c>
      <c r="I129" s="1">
        <v>0.95</v>
      </c>
      <c r="J129" s="1">
        <v>1.59</v>
      </c>
      <c r="K129" s="1" t="s">
        <v>57</v>
      </c>
      <c r="M129" s="1">
        <v>25</v>
      </c>
      <c r="Q129" s="1">
        <v>8.8000000000000007</v>
      </c>
      <c r="R129" s="1" t="s">
        <v>58</v>
      </c>
      <c r="S129" s="1">
        <v>307.27999999999997</v>
      </c>
      <c r="T129" s="1">
        <v>377</v>
      </c>
      <c r="U129" s="1">
        <v>1.82</v>
      </c>
      <c r="V129" s="1">
        <v>9.4</v>
      </c>
      <c r="W129" s="1">
        <v>2.5000000000000001E-2</v>
      </c>
      <c r="X129" s="1">
        <f t="shared" si="11"/>
        <v>25</v>
      </c>
      <c r="Y129" s="1">
        <v>0.1</v>
      </c>
      <c r="Z129" s="1">
        <v>5.0000000000000001E-3</v>
      </c>
      <c r="AA129" s="1">
        <v>3.1884057971014501</v>
      </c>
      <c r="AB129" s="1">
        <v>3</v>
      </c>
      <c r="AC129" s="1">
        <v>25</v>
      </c>
      <c r="AH129" s="1">
        <v>0.31692307692307697</v>
      </c>
      <c r="AJ129" s="1">
        <f t="shared" si="15"/>
        <v>0.68307692307692303</v>
      </c>
      <c r="AK129" s="1">
        <f t="shared" si="13"/>
        <v>-0.38114780045745811</v>
      </c>
      <c r="AM129">
        <v>17</v>
      </c>
      <c r="AN129">
        <f>IF(ISNUMBER(AJ129),IF(AJ129&gt;=0.05,1,0),"")</f>
        <v>1</v>
      </c>
      <c r="AO129">
        <f>IF(ISNUMBER(AJ129),IF(AJ129&lt;0.005,1,0),"")</f>
        <v>0</v>
      </c>
      <c r="AQ129" s="34"/>
      <c r="AR129" s="35"/>
      <c r="AS129" s="36"/>
    </row>
    <row r="130" spans="1:45" ht="57" x14ac:dyDescent="0.45">
      <c r="A130" s="1" t="s">
        <v>60</v>
      </c>
      <c r="B130" s="1" t="s">
        <v>56</v>
      </c>
      <c r="C130" s="1">
        <v>107</v>
      </c>
      <c r="D130" s="1">
        <v>253.28</v>
      </c>
      <c r="E130" s="1">
        <v>0.9</v>
      </c>
      <c r="F130" s="1">
        <v>1.5549999999999999</v>
      </c>
      <c r="G130" s="1">
        <v>1.9550000000000001</v>
      </c>
      <c r="H130" s="1">
        <v>0.88</v>
      </c>
      <c r="I130" s="1">
        <v>0.95</v>
      </c>
      <c r="J130" s="1">
        <v>1.59</v>
      </c>
      <c r="K130" s="1" t="s">
        <v>57</v>
      </c>
      <c r="M130" s="1">
        <v>25</v>
      </c>
      <c r="Q130" s="1">
        <v>8.8000000000000007</v>
      </c>
      <c r="R130" s="1" t="s">
        <v>58</v>
      </c>
      <c r="S130" s="1">
        <v>307.27999999999997</v>
      </c>
      <c r="T130" s="1">
        <v>377</v>
      </c>
      <c r="U130" s="1">
        <v>1.82</v>
      </c>
      <c r="V130" s="1">
        <v>9.4</v>
      </c>
      <c r="W130" s="1">
        <v>2.5000000000000001E-2</v>
      </c>
      <c r="X130" s="1">
        <f t="shared" si="11"/>
        <v>25</v>
      </c>
      <c r="Y130" s="1">
        <v>0.1</v>
      </c>
      <c r="Z130" s="1">
        <v>5.0000000000000001E-3</v>
      </c>
      <c r="AA130" s="1">
        <v>4.9275362318840603</v>
      </c>
      <c r="AB130" s="1">
        <v>3</v>
      </c>
      <c r="AC130" s="1">
        <v>25</v>
      </c>
      <c r="AH130" s="1">
        <v>0.34769230769230797</v>
      </c>
      <c r="AJ130" s="1">
        <f t="shared" si="15"/>
        <v>0.65230769230769203</v>
      </c>
      <c r="AK130" s="1">
        <f t="shared" si="13"/>
        <v>-0.42723890765772543</v>
      </c>
      <c r="AM130">
        <v>17</v>
      </c>
      <c r="AN130">
        <f>IF(ISNUMBER(AJ130),IF(AJ130&gt;=0.05,1,0),"")</f>
        <v>1</v>
      </c>
      <c r="AO130">
        <f>IF(ISNUMBER(AJ130),IF(AJ130&lt;0.005,1,0),"")</f>
        <v>0</v>
      </c>
      <c r="AQ130" s="34"/>
      <c r="AR130" s="35"/>
      <c r="AS130" s="36"/>
    </row>
    <row r="131" spans="1:45" ht="57" x14ac:dyDescent="0.45">
      <c r="A131" s="1" t="s">
        <v>60</v>
      </c>
      <c r="B131" s="1" t="s">
        <v>56</v>
      </c>
      <c r="C131" s="1">
        <v>107</v>
      </c>
      <c r="D131" s="1">
        <v>253.28</v>
      </c>
      <c r="E131" s="1">
        <v>0.9</v>
      </c>
      <c r="F131" s="1">
        <v>1.5549999999999999</v>
      </c>
      <c r="G131" s="1">
        <v>1.9550000000000001</v>
      </c>
      <c r="H131" s="1">
        <v>0.88</v>
      </c>
      <c r="I131" s="1">
        <v>0.95</v>
      </c>
      <c r="J131" s="1">
        <v>1.59</v>
      </c>
      <c r="K131" s="1" t="s">
        <v>57</v>
      </c>
      <c r="M131" s="1">
        <v>25</v>
      </c>
      <c r="Q131" s="1">
        <v>8.8000000000000007</v>
      </c>
      <c r="R131" s="1" t="s">
        <v>58</v>
      </c>
      <c r="S131" s="1">
        <v>307.27999999999997</v>
      </c>
      <c r="T131" s="1">
        <v>377</v>
      </c>
      <c r="U131" s="1">
        <v>1.82</v>
      </c>
      <c r="V131" s="1">
        <v>9.4</v>
      </c>
      <c r="W131" s="1">
        <v>2.5000000000000001E-2</v>
      </c>
      <c r="X131" s="1">
        <f t="shared" si="11"/>
        <v>25</v>
      </c>
      <c r="Y131" s="1">
        <v>0.1</v>
      </c>
      <c r="Z131" s="1">
        <v>5.0000000000000001E-3</v>
      </c>
      <c r="AA131" s="1">
        <v>10</v>
      </c>
      <c r="AB131" s="1">
        <v>3</v>
      </c>
      <c r="AC131" s="1">
        <v>25</v>
      </c>
      <c r="AH131" s="1">
        <v>0.42153846153846097</v>
      </c>
      <c r="AJ131" s="1">
        <f t="shared" si="15"/>
        <v>0.57846153846153903</v>
      </c>
      <c r="AK131" s="1">
        <f t="shared" si="13"/>
        <v>-0.5473832194997873</v>
      </c>
      <c r="AM131">
        <v>17</v>
      </c>
      <c r="AN131">
        <f>IF(ISNUMBER(AJ131),IF(AJ131&gt;=0.05,1,0),"")</f>
        <v>1</v>
      </c>
      <c r="AO131">
        <f>IF(ISNUMBER(AJ131),IF(AJ131&lt;0.005,1,0),"")</f>
        <v>0</v>
      </c>
      <c r="AQ131" s="34"/>
      <c r="AR131" s="35"/>
      <c r="AS131" s="36"/>
    </row>
    <row r="132" spans="1:45" ht="57" x14ac:dyDescent="0.45">
      <c r="A132" s="1" t="s">
        <v>60</v>
      </c>
      <c r="B132" s="1" t="s">
        <v>56</v>
      </c>
      <c r="C132" s="1">
        <v>107</v>
      </c>
      <c r="D132" s="1">
        <v>253.28</v>
      </c>
      <c r="E132" s="1">
        <v>0.9</v>
      </c>
      <c r="F132" s="1">
        <v>1.5549999999999999</v>
      </c>
      <c r="G132" s="1">
        <v>1.9550000000000001</v>
      </c>
      <c r="H132" s="1">
        <v>0.88</v>
      </c>
      <c r="I132" s="1">
        <v>0.95</v>
      </c>
      <c r="J132" s="1">
        <v>1.59</v>
      </c>
      <c r="K132" s="1" t="s">
        <v>57</v>
      </c>
      <c r="M132" s="1">
        <v>25</v>
      </c>
      <c r="Q132" s="1">
        <v>8.8000000000000007</v>
      </c>
      <c r="R132" s="1" t="s">
        <v>58</v>
      </c>
      <c r="S132" s="1">
        <v>307.27999999999997</v>
      </c>
      <c r="T132" s="1">
        <v>377</v>
      </c>
      <c r="U132" s="1">
        <v>1.82</v>
      </c>
      <c r="V132" s="1">
        <v>9.4</v>
      </c>
      <c r="W132" s="1">
        <v>2.5000000000000001E-2</v>
      </c>
      <c r="X132" s="1">
        <f t="shared" ref="X132:X195" si="22">W132*1000</f>
        <v>25</v>
      </c>
      <c r="Y132" s="1">
        <v>0.1</v>
      </c>
      <c r="Z132" s="1">
        <v>5.0000000000000001E-3</v>
      </c>
      <c r="AA132" s="1">
        <v>14.5652173913043</v>
      </c>
      <c r="AB132" s="1">
        <v>3</v>
      </c>
      <c r="AC132" s="1">
        <v>25</v>
      </c>
      <c r="AH132" s="1">
        <v>0.43999999999999995</v>
      </c>
      <c r="AJ132" s="1">
        <f t="shared" si="15"/>
        <v>0.56000000000000005</v>
      </c>
      <c r="AK132" s="1">
        <f t="shared" si="13"/>
        <v>-0.57981849525294205</v>
      </c>
      <c r="AM132">
        <v>17</v>
      </c>
      <c r="AN132">
        <f>IF(ISNUMBER(AJ132),IF(AJ132&gt;=0.05,1,0),"")</f>
        <v>1</v>
      </c>
      <c r="AO132">
        <f>IF(ISNUMBER(AJ132),IF(AJ132&lt;0.005,1,0),"")</f>
        <v>0</v>
      </c>
      <c r="AQ132" s="34"/>
      <c r="AR132" s="35"/>
      <c r="AS132" s="36"/>
    </row>
    <row r="133" spans="1:45" ht="57" x14ac:dyDescent="0.45">
      <c r="A133" s="1" t="s">
        <v>60</v>
      </c>
      <c r="B133" s="1" t="s">
        <v>56</v>
      </c>
      <c r="C133" s="1">
        <v>107</v>
      </c>
      <c r="D133" s="1">
        <v>253.28</v>
      </c>
      <c r="E133" s="1">
        <v>0.9</v>
      </c>
      <c r="F133" s="1">
        <v>1.5549999999999999</v>
      </c>
      <c r="G133" s="1">
        <v>1.9550000000000001</v>
      </c>
      <c r="H133" s="1">
        <v>0.88</v>
      </c>
      <c r="I133" s="1">
        <v>0.95</v>
      </c>
      <c r="J133" s="1">
        <v>1.59</v>
      </c>
      <c r="K133" s="1" t="s">
        <v>57</v>
      </c>
      <c r="M133" s="1">
        <v>25</v>
      </c>
      <c r="Q133" s="1">
        <v>8.8000000000000007</v>
      </c>
      <c r="R133" s="1" t="s">
        <v>58</v>
      </c>
      <c r="S133" s="1">
        <v>307.27999999999997</v>
      </c>
      <c r="T133" s="1">
        <v>377</v>
      </c>
      <c r="U133" s="1">
        <v>1.82</v>
      </c>
      <c r="V133" s="1">
        <v>9.4</v>
      </c>
      <c r="W133" s="1">
        <v>2.5000000000000001E-2</v>
      </c>
      <c r="X133" s="1">
        <f t="shared" si="22"/>
        <v>25</v>
      </c>
      <c r="Y133" s="1">
        <v>0.1</v>
      </c>
      <c r="Z133" s="1">
        <v>5.0000000000000001E-3</v>
      </c>
      <c r="AA133" s="1">
        <v>19.347826086956498</v>
      </c>
      <c r="AB133" s="1">
        <v>3</v>
      </c>
      <c r="AC133" s="1">
        <v>25</v>
      </c>
      <c r="AH133" s="1">
        <v>0.45846153846153803</v>
      </c>
      <c r="AJ133" s="1">
        <f t="shared" si="15"/>
        <v>0.54153846153846197</v>
      </c>
      <c r="AK133" s="1">
        <f t="shared" si="13"/>
        <v>-0.61334118729158493</v>
      </c>
      <c r="AM133">
        <v>17</v>
      </c>
      <c r="AN133">
        <f>IF(ISNUMBER(AJ133),IF(AJ133&gt;=0.05,1,0),"")</f>
        <v>1</v>
      </c>
      <c r="AO133">
        <f>IF(ISNUMBER(AJ133),IF(AJ133&lt;0.005,1,0),"")</f>
        <v>0</v>
      </c>
      <c r="AQ133" s="34"/>
      <c r="AR133" s="35"/>
      <c r="AS133" s="36"/>
    </row>
    <row r="134" spans="1:45" ht="57" x14ac:dyDescent="0.45">
      <c r="A134" s="1" t="s">
        <v>60</v>
      </c>
      <c r="B134" s="1" t="s">
        <v>56</v>
      </c>
      <c r="C134" s="1">
        <v>107</v>
      </c>
      <c r="D134" s="1">
        <v>253.28</v>
      </c>
      <c r="E134" s="1">
        <v>0.9</v>
      </c>
      <c r="F134" s="1">
        <v>1.5549999999999999</v>
      </c>
      <c r="G134" s="1">
        <v>1.9550000000000001</v>
      </c>
      <c r="H134" s="1">
        <v>0.88</v>
      </c>
      <c r="I134" s="1">
        <v>0.95</v>
      </c>
      <c r="J134" s="1">
        <v>1.59</v>
      </c>
      <c r="K134" s="1" t="s">
        <v>57</v>
      </c>
      <c r="M134" s="1">
        <v>25</v>
      </c>
      <c r="Q134" s="1">
        <v>8.8000000000000007</v>
      </c>
      <c r="R134" s="1" t="s">
        <v>58</v>
      </c>
      <c r="S134" s="1">
        <v>307.27999999999997</v>
      </c>
      <c r="T134" s="1">
        <v>377</v>
      </c>
      <c r="U134" s="1">
        <v>1.82</v>
      </c>
      <c r="V134" s="1">
        <v>9.4</v>
      </c>
      <c r="W134" s="1">
        <v>2.5000000000000001E-2</v>
      </c>
      <c r="X134" s="1">
        <f t="shared" si="22"/>
        <v>25</v>
      </c>
      <c r="Y134" s="1">
        <v>0.1</v>
      </c>
      <c r="Z134" s="1">
        <v>5.0000000000000001E-3</v>
      </c>
      <c r="AA134" s="1">
        <v>29.202898550724601</v>
      </c>
      <c r="AB134" s="1">
        <v>3</v>
      </c>
      <c r="AC134" s="1">
        <v>25</v>
      </c>
      <c r="AH134" s="1">
        <v>0.49538461538461498</v>
      </c>
      <c r="AJ134" s="1">
        <f t="shared" si="15"/>
        <v>0.50461538461538502</v>
      </c>
      <c r="AK134" s="1">
        <f t="shared" si="13"/>
        <v>-0.68395875450553822</v>
      </c>
      <c r="AM134">
        <v>17</v>
      </c>
      <c r="AN134">
        <f>IF(ISNUMBER(AJ134),IF(AJ134&gt;=0.05,1,0),"")</f>
        <v>1</v>
      </c>
      <c r="AO134">
        <f>IF(ISNUMBER(AJ134),IF(AJ134&lt;0.005,1,0),"")</f>
        <v>0</v>
      </c>
      <c r="AQ134" s="34"/>
      <c r="AR134" s="35"/>
      <c r="AS134" s="36"/>
    </row>
    <row r="135" spans="1:45" ht="57" x14ac:dyDescent="0.45">
      <c r="A135" s="1" t="s">
        <v>61</v>
      </c>
      <c r="B135" s="1" t="s">
        <v>56</v>
      </c>
      <c r="C135" s="1">
        <v>107</v>
      </c>
      <c r="D135" s="1">
        <v>253.28</v>
      </c>
      <c r="E135" s="1">
        <v>0.9</v>
      </c>
      <c r="F135" s="1">
        <v>1.5549999999999999</v>
      </c>
      <c r="G135" s="1">
        <v>1.9550000000000001</v>
      </c>
      <c r="H135" s="1">
        <v>0.88</v>
      </c>
      <c r="I135" s="1">
        <v>0.95</v>
      </c>
      <c r="J135" s="1">
        <v>1.59</v>
      </c>
      <c r="K135" s="1" t="s">
        <v>57</v>
      </c>
      <c r="L135" s="1" t="s">
        <v>62</v>
      </c>
      <c r="M135" s="1">
        <v>25</v>
      </c>
      <c r="R135" s="1" t="s">
        <v>63</v>
      </c>
      <c r="S135" s="1">
        <v>307.27999999999997</v>
      </c>
      <c r="T135" s="1">
        <v>377</v>
      </c>
      <c r="U135" s="1">
        <v>1.82</v>
      </c>
      <c r="V135" s="1">
        <v>9.4</v>
      </c>
      <c r="W135" s="1">
        <v>2.5000000000000001E-2</v>
      </c>
      <c r="X135" s="1">
        <f t="shared" si="22"/>
        <v>25</v>
      </c>
      <c r="Y135" s="1">
        <v>0.05</v>
      </c>
      <c r="AA135" s="1">
        <v>0</v>
      </c>
      <c r="AH135" s="1">
        <v>0</v>
      </c>
      <c r="AI135" s="1">
        <f>-AK142/AA142</f>
        <v>7.9636471765156563E-2</v>
      </c>
      <c r="AJ135" s="1">
        <f t="shared" ref="AJ135" si="23">1-AH135</f>
        <v>1</v>
      </c>
      <c r="AK135" s="1">
        <f t="shared" si="13"/>
        <v>0</v>
      </c>
      <c r="AL135" s="1">
        <v>7.7882300925249101E-2</v>
      </c>
      <c r="AM135">
        <v>18</v>
      </c>
      <c r="AN135">
        <f>IF(ISNUMBER(AJ135),IF(AJ135&gt;=0.05,1,0),"")</f>
        <v>1</v>
      </c>
      <c r="AO135">
        <f>IF(ISNUMBER(AJ135),IF(AJ135&lt;0.005,1,0),"")</f>
        <v>0</v>
      </c>
      <c r="AP135">
        <f>IFERROR(MATCH(0,AN135:AN142,0)-1,8)</f>
        <v>8</v>
      </c>
      <c r="AQ135" s="34">
        <f>IF(AP135&lt;3,"n&lt;3",IFERROR(-SLOPE(AK135:INDEX(AK135:AK142,AP135),AA135:INDEX(AA135:AA142,AP135)),"no fit"))</f>
        <v>7.9643154950751083E-2</v>
      </c>
      <c r="AR135" s="35">
        <f>IF(AP135&lt;3,"",IFERROR(RSQ(AK135:INDEX(AK135:AK142,AP135),AA135:INDEX(AA135:AA142,AP135)),"flat"))</f>
        <v>0.99172002227003753</v>
      </c>
      <c r="AS135" s="36">
        <f>IFERROR(AQ135/AI135,"")</f>
        <v>1.0000839211663499</v>
      </c>
    </row>
    <row r="136" spans="1:45" ht="57" x14ac:dyDescent="0.45">
      <c r="A136" s="1" t="s">
        <v>61</v>
      </c>
      <c r="B136" s="1" t="s">
        <v>56</v>
      </c>
      <c r="C136" s="1">
        <v>107</v>
      </c>
      <c r="D136" s="1">
        <v>253.28</v>
      </c>
      <c r="E136" s="1">
        <v>0.9</v>
      </c>
      <c r="F136" s="1">
        <v>1.5549999999999999</v>
      </c>
      <c r="G136" s="1">
        <v>1.9550000000000001</v>
      </c>
      <c r="H136" s="1">
        <v>0.88</v>
      </c>
      <c r="I136" s="1">
        <v>0.95</v>
      </c>
      <c r="J136" s="1">
        <v>1.59</v>
      </c>
      <c r="K136" s="1" t="s">
        <v>57</v>
      </c>
      <c r="L136" s="1" t="s">
        <v>62</v>
      </c>
      <c r="M136" s="1">
        <v>25</v>
      </c>
      <c r="R136" s="1" t="s">
        <v>63</v>
      </c>
      <c r="S136" s="1">
        <v>307.27999999999997</v>
      </c>
      <c r="T136" s="1">
        <v>377</v>
      </c>
      <c r="U136" s="1">
        <v>1.82</v>
      </c>
      <c r="V136" s="1">
        <v>9.4</v>
      </c>
      <c r="W136" s="1">
        <v>2.5000000000000001E-2</v>
      </c>
      <c r="X136" s="1">
        <f t="shared" si="22"/>
        <v>25</v>
      </c>
      <c r="Y136" s="1">
        <v>0.05</v>
      </c>
      <c r="AA136" s="1">
        <v>1.1931818181818099</v>
      </c>
      <c r="AH136" s="1">
        <v>0.13571428571428501</v>
      </c>
      <c r="AJ136" s="1">
        <f t="shared" si="15"/>
        <v>0.86428571428571499</v>
      </c>
      <c r="AK136" s="1">
        <f t="shared" si="13"/>
        <v>-0.14585187701256239</v>
      </c>
      <c r="AM136">
        <v>18</v>
      </c>
      <c r="AN136">
        <f>IF(ISNUMBER(AJ136),IF(AJ136&gt;=0.05,1,0),"")</f>
        <v>1</v>
      </c>
      <c r="AO136">
        <f>IF(ISNUMBER(AJ136),IF(AJ136&lt;0.005,1,0),"")</f>
        <v>0</v>
      </c>
      <c r="AQ136" s="34"/>
      <c r="AR136" s="35"/>
      <c r="AS136" s="36"/>
    </row>
    <row r="137" spans="1:45" ht="57" x14ac:dyDescent="0.45">
      <c r="A137" s="1" t="s">
        <v>61</v>
      </c>
      <c r="B137" s="1" t="s">
        <v>56</v>
      </c>
      <c r="C137" s="1">
        <v>107</v>
      </c>
      <c r="D137" s="1">
        <v>253.28</v>
      </c>
      <c r="E137" s="1">
        <v>0.9</v>
      </c>
      <c r="F137" s="1">
        <v>1.5549999999999999</v>
      </c>
      <c r="G137" s="1">
        <v>1.9550000000000001</v>
      </c>
      <c r="H137" s="1">
        <v>0.88</v>
      </c>
      <c r="I137" s="1">
        <v>0.95</v>
      </c>
      <c r="J137" s="1">
        <v>1.59</v>
      </c>
      <c r="K137" s="1" t="s">
        <v>57</v>
      </c>
      <c r="L137" s="1" t="s">
        <v>62</v>
      </c>
      <c r="M137" s="1">
        <v>25</v>
      </c>
      <c r="R137" s="1" t="s">
        <v>63</v>
      </c>
      <c r="S137" s="1">
        <v>307.27999999999997</v>
      </c>
      <c r="T137" s="1">
        <v>377</v>
      </c>
      <c r="U137" s="1">
        <v>1.82</v>
      </c>
      <c r="V137" s="1">
        <v>9.4</v>
      </c>
      <c r="W137" s="1">
        <v>2.5000000000000001E-2</v>
      </c>
      <c r="X137" s="1">
        <f t="shared" si="22"/>
        <v>25</v>
      </c>
      <c r="Y137" s="1">
        <v>0.05</v>
      </c>
      <c r="AA137" s="1">
        <v>3.1818181818181799</v>
      </c>
      <c r="AH137" s="1">
        <v>0.29523809523809497</v>
      </c>
      <c r="AJ137" s="1">
        <f t="shared" si="15"/>
        <v>0.70476190476190503</v>
      </c>
      <c r="AK137" s="1">
        <f t="shared" si="13"/>
        <v>-0.34989525695335322</v>
      </c>
      <c r="AM137">
        <v>18</v>
      </c>
      <c r="AN137">
        <f>IF(ISNUMBER(AJ137),IF(AJ137&gt;=0.05,1,0),"")</f>
        <v>1</v>
      </c>
      <c r="AO137">
        <f>IF(ISNUMBER(AJ137),IF(AJ137&lt;0.005,1,0),"")</f>
        <v>0</v>
      </c>
      <c r="AQ137" s="34"/>
      <c r="AR137" s="35"/>
      <c r="AS137" s="36"/>
    </row>
    <row r="138" spans="1:45" ht="57" x14ac:dyDescent="0.45">
      <c r="A138" s="1" t="s">
        <v>61</v>
      </c>
      <c r="B138" s="1" t="s">
        <v>56</v>
      </c>
      <c r="C138" s="1">
        <v>107</v>
      </c>
      <c r="D138" s="1">
        <v>253.28</v>
      </c>
      <c r="E138" s="1">
        <v>0.9</v>
      </c>
      <c r="F138" s="1">
        <v>1.5549999999999999</v>
      </c>
      <c r="G138" s="1">
        <v>1.9550000000000001</v>
      </c>
      <c r="H138" s="1">
        <v>0.88</v>
      </c>
      <c r="I138" s="1">
        <v>0.95</v>
      </c>
      <c r="J138" s="1">
        <v>1.59</v>
      </c>
      <c r="K138" s="1" t="s">
        <v>57</v>
      </c>
      <c r="L138" s="1" t="s">
        <v>62</v>
      </c>
      <c r="M138" s="1">
        <v>25</v>
      </c>
      <c r="R138" s="1" t="s">
        <v>63</v>
      </c>
      <c r="S138" s="1">
        <v>307.27999999999997</v>
      </c>
      <c r="T138" s="1">
        <v>377</v>
      </c>
      <c r="U138" s="1">
        <v>1.82</v>
      </c>
      <c r="V138" s="1">
        <v>9.4</v>
      </c>
      <c r="W138" s="1">
        <v>2.5000000000000001E-2</v>
      </c>
      <c r="X138" s="1">
        <f t="shared" si="22"/>
        <v>25</v>
      </c>
      <c r="Y138" s="1">
        <v>0.05</v>
      </c>
      <c r="AA138" s="1">
        <v>5</v>
      </c>
      <c r="AH138" s="1">
        <v>0.43809523809523798</v>
      </c>
      <c r="AJ138" s="1">
        <f t="shared" si="15"/>
        <v>0.56190476190476202</v>
      </c>
      <c r="AK138" s="1">
        <f t="shared" si="13"/>
        <v>-0.5764229062518037</v>
      </c>
      <c r="AM138">
        <v>18</v>
      </c>
      <c r="AN138">
        <f>IF(ISNUMBER(AJ138),IF(AJ138&gt;=0.05,1,0),"")</f>
        <v>1</v>
      </c>
      <c r="AO138">
        <f>IF(ISNUMBER(AJ138),IF(AJ138&lt;0.005,1,0),"")</f>
        <v>0</v>
      </c>
      <c r="AQ138" s="34"/>
      <c r="AR138" s="35"/>
      <c r="AS138" s="36"/>
    </row>
    <row r="139" spans="1:45" ht="57" x14ac:dyDescent="0.45">
      <c r="A139" s="1" t="s">
        <v>61</v>
      </c>
      <c r="B139" s="1" t="s">
        <v>56</v>
      </c>
      <c r="C139" s="1">
        <v>107</v>
      </c>
      <c r="D139" s="1">
        <v>253.28</v>
      </c>
      <c r="E139" s="1">
        <v>0.9</v>
      </c>
      <c r="F139" s="1">
        <v>1.5549999999999999</v>
      </c>
      <c r="G139" s="1">
        <v>1.9550000000000001</v>
      </c>
      <c r="H139" s="1">
        <v>0.88</v>
      </c>
      <c r="I139" s="1">
        <v>0.95</v>
      </c>
      <c r="J139" s="1">
        <v>1.59</v>
      </c>
      <c r="K139" s="1" t="s">
        <v>57</v>
      </c>
      <c r="L139" s="1" t="s">
        <v>62</v>
      </c>
      <c r="M139" s="1">
        <v>25</v>
      </c>
      <c r="R139" s="1" t="s">
        <v>63</v>
      </c>
      <c r="S139" s="1">
        <v>307.27999999999997</v>
      </c>
      <c r="T139" s="1">
        <v>377</v>
      </c>
      <c r="U139" s="1">
        <v>1.82</v>
      </c>
      <c r="V139" s="1">
        <v>9.4</v>
      </c>
      <c r="W139" s="1">
        <v>2.5000000000000001E-2</v>
      </c>
      <c r="X139" s="1">
        <f t="shared" si="22"/>
        <v>25</v>
      </c>
      <c r="Y139" s="1">
        <v>0.05</v>
      </c>
      <c r="AA139" s="1">
        <v>10.113636363636299</v>
      </c>
      <c r="AH139" s="1">
        <v>0.621428571428572</v>
      </c>
      <c r="AJ139" s="1">
        <f t="shared" si="15"/>
        <v>0.378571428571428</v>
      </c>
      <c r="AK139" s="1">
        <f t="shared" si="13"/>
        <v>-0.97135050905718401</v>
      </c>
      <c r="AM139">
        <v>18</v>
      </c>
      <c r="AN139">
        <f>IF(ISNUMBER(AJ139),IF(AJ139&gt;=0.05,1,0),"")</f>
        <v>1</v>
      </c>
      <c r="AO139">
        <f>IF(ISNUMBER(AJ139),IF(AJ139&lt;0.005,1,0),"")</f>
        <v>0</v>
      </c>
      <c r="AQ139" s="34"/>
      <c r="AR139" s="35"/>
      <c r="AS139" s="36"/>
    </row>
    <row r="140" spans="1:45" ht="57" x14ac:dyDescent="0.45">
      <c r="A140" s="1" t="s">
        <v>61</v>
      </c>
      <c r="B140" s="1" t="s">
        <v>56</v>
      </c>
      <c r="C140" s="1">
        <v>107</v>
      </c>
      <c r="D140" s="1">
        <v>253.28</v>
      </c>
      <c r="E140" s="1">
        <v>0.9</v>
      </c>
      <c r="F140" s="1">
        <v>1.5549999999999999</v>
      </c>
      <c r="G140" s="1">
        <v>1.9550000000000001</v>
      </c>
      <c r="H140" s="1">
        <v>0.88</v>
      </c>
      <c r="I140" s="1">
        <v>0.95</v>
      </c>
      <c r="J140" s="1">
        <v>1.59</v>
      </c>
      <c r="K140" s="1" t="s">
        <v>57</v>
      </c>
      <c r="L140" s="1" t="s">
        <v>62</v>
      </c>
      <c r="M140" s="1">
        <v>25</v>
      </c>
      <c r="R140" s="1" t="s">
        <v>63</v>
      </c>
      <c r="S140" s="1">
        <v>307.27999999999997</v>
      </c>
      <c r="T140" s="1">
        <v>377</v>
      </c>
      <c r="U140" s="1">
        <v>1.82</v>
      </c>
      <c r="V140" s="1">
        <v>9.4</v>
      </c>
      <c r="W140" s="1">
        <v>2.5000000000000001E-2</v>
      </c>
      <c r="X140" s="1">
        <f t="shared" si="22"/>
        <v>25</v>
      </c>
      <c r="Y140" s="1">
        <v>0.05</v>
      </c>
      <c r="AA140" s="1">
        <v>14.943181818181801</v>
      </c>
      <c r="AH140" s="1">
        <v>0.74285714285714299</v>
      </c>
      <c r="AJ140" s="1">
        <f t="shared" si="15"/>
        <v>0.25714285714285701</v>
      </c>
      <c r="AK140" s="1">
        <f t="shared" si="13"/>
        <v>-1.3581234841531948</v>
      </c>
      <c r="AM140">
        <v>18</v>
      </c>
      <c r="AN140">
        <f>IF(ISNUMBER(AJ140),IF(AJ140&gt;=0.05,1,0),"")</f>
        <v>1</v>
      </c>
      <c r="AO140">
        <f>IF(ISNUMBER(AJ140),IF(AJ140&lt;0.005,1,0),"")</f>
        <v>0</v>
      </c>
      <c r="AQ140" s="34"/>
      <c r="AR140" s="35"/>
      <c r="AS140" s="36"/>
    </row>
    <row r="141" spans="1:45" ht="57" x14ac:dyDescent="0.45">
      <c r="A141" s="1" t="s">
        <v>61</v>
      </c>
      <c r="B141" s="1" t="s">
        <v>56</v>
      </c>
      <c r="C141" s="1">
        <v>107</v>
      </c>
      <c r="D141" s="1">
        <v>253.28</v>
      </c>
      <c r="E141" s="1">
        <v>0.9</v>
      </c>
      <c r="F141" s="1">
        <v>1.5549999999999999</v>
      </c>
      <c r="G141" s="1">
        <v>1.9550000000000001</v>
      </c>
      <c r="H141" s="1">
        <v>0.88</v>
      </c>
      <c r="I141" s="1">
        <v>0.95</v>
      </c>
      <c r="J141" s="1">
        <v>1.59</v>
      </c>
      <c r="K141" s="1" t="s">
        <v>57</v>
      </c>
      <c r="L141" s="1" t="s">
        <v>62</v>
      </c>
      <c r="M141" s="1">
        <v>25</v>
      </c>
      <c r="R141" s="1" t="s">
        <v>63</v>
      </c>
      <c r="S141" s="1">
        <v>307.27999999999997</v>
      </c>
      <c r="T141" s="1">
        <v>377</v>
      </c>
      <c r="U141" s="1">
        <v>1.82</v>
      </c>
      <c r="V141" s="1">
        <v>9.4</v>
      </c>
      <c r="W141" s="1">
        <v>2.5000000000000001E-2</v>
      </c>
      <c r="X141" s="1">
        <f t="shared" si="22"/>
        <v>25</v>
      </c>
      <c r="Y141" s="1">
        <v>0.05</v>
      </c>
      <c r="AA141" s="1">
        <v>20.113636363636299</v>
      </c>
      <c r="AH141" s="1">
        <v>0.82857142857142896</v>
      </c>
      <c r="AJ141" s="1">
        <f t="shared" si="15"/>
        <v>0.17142857142857104</v>
      </c>
      <c r="AK141" s="1">
        <f t="shared" si="13"/>
        <v>-1.763588592261361</v>
      </c>
      <c r="AM141">
        <v>18</v>
      </c>
      <c r="AN141">
        <f>IF(ISNUMBER(AJ141),IF(AJ141&gt;=0.05,1,0),"")</f>
        <v>1</v>
      </c>
      <c r="AO141">
        <f>IF(ISNUMBER(AJ141),IF(AJ141&lt;0.005,1,0),"")</f>
        <v>0</v>
      </c>
      <c r="AQ141" s="34"/>
      <c r="AR141" s="35"/>
      <c r="AS141" s="36"/>
    </row>
    <row r="142" spans="1:45" ht="57" x14ac:dyDescent="0.45">
      <c r="A142" s="1" t="s">
        <v>61</v>
      </c>
      <c r="B142" s="1" t="s">
        <v>56</v>
      </c>
      <c r="C142" s="1">
        <v>107</v>
      </c>
      <c r="D142" s="1">
        <v>253.28</v>
      </c>
      <c r="E142" s="1">
        <v>0.9</v>
      </c>
      <c r="F142" s="1">
        <v>1.5549999999999999</v>
      </c>
      <c r="G142" s="1">
        <v>1.9550000000000001</v>
      </c>
      <c r="H142" s="1">
        <v>0.88</v>
      </c>
      <c r="I142" s="1">
        <v>0.95</v>
      </c>
      <c r="J142" s="1">
        <v>1.59</v>
      </c>
      <c r="K142" s="1" t="s">
        <v>57</v>
      </c>
      <c r="L142" s="1" t="s">
        <v>62</v>
      </c>
      <c r="M142" s="1">
        <v>25</v>
      </c>
      <c r="R142" s="1" t="s">
        <v>63</v>
      </c>
      <c r="S142" s="1">
        <v>307.27999999999997</v>
      </c>
      <c r="T142" s="1">
        <v>377</v>
      </c>
      <c r="U142" s="1">
        <v>1.82</v>
      </c>
      <c r="V142" s="1">
        <v>9.4</v>
      </c>
      <c r="W142" s="1">
        <v>2.5000000000000001E-2</v>
      </c>
      <c r="X142" s="1">
        <f t="shared" si="22"/>
        <v>25</v>
      </c>
      <c r="Y142" s="1">
        <v>0.05</v>
      </c>
      <c r="AA142" s="1">
        <v>30.170454545454501</v>
      </c>
      <c r="AH142" s="1">
        <v>0.9095238095238094</v>
      </c>
      <c r="AJ142" s="1">
        <f t="shared" si="15"/>
        <v>9.0476190476190599E-2</v>
      </c>
      <c r="AK142" s="1">
        <f t="shared" si="13"/>
        <v>-2.4026685515510269</v>
      </c>
      <c r="AM142">
        <v>18</v>
      </c>
      <c r="AN142">
        <f>IF(ISNUMBER(AJ142),IF(AJ142&gt;=0.05,1,0),"")</f>
        <v>1</v>
      </c>
      <c r="AO142">
        <f>IF(ISNUMBER(AJ142),IF(AJ142&lt;0.005,1,0),"")</f>
        <v>0</v>
      </c>
      <c r="AQ142" s="34"/>
      <c r="AR142" s="35"/>
      <c r="AS142" s="36"/>
    </row>
    <row r="143" spans="1:45" ht="57" x14ac:dyDescent="0.45">
      <c r="A143" s="1" t="s">
        <v>61</v>
      </c>
      <c r="B143" s="1" t="s">
        <v>56</v>
      </c>
      <c r="C143" s="1">
        <v>107</v>
      </c>
      <c r="D143" s="1">
        <v>253.28</v>
      </c>
      <c r="E143" s="1">
        <v>0.9</v>
      </c>
      <c r="F143" s="1">
        <v>1.5549999999999999</v>
      </c>
      <c r="G143" s="1">
        <v>1.9550000000000001</v>
      </c>
      <c r="H143" s="1">
        <v>0.88</v>
      </c>
      <c r="I143" s="1">
        <v>0.95</v>
      </c>
      <c r="J143" s="1">
        <v>1.59</v>
      </c>
      <c r="K143" s="1" t="s">
        <v>57</v>
      </c>
      <c r="L143" s="1" t="s">
        <v>62</v>
      </c>
      <c r="M143" s="1">
        <v>25</v>
      </c>
      <c r="R143" s="1" t="s">
        <v>63</v>
      </c>
      <c r="S143" s="1">
        <v>307.27999999999997</v>
      </c>
      <c r="T143" s="1">
        <v>377</v>
      </c>
      <c r="U143" s="1">
        <v>1.82</v>
      </c>
      <c r="V143" s="1">
        <v>9.4</v>
      </c>
      <c r="W143" s="1">
        <v>2.5000000000000001E-2</v>
      </c>
      <c r="X143" s="1">
        <f t="shared" si="22"/>
        <v>25</v>
      </c>
      <c r="Y143" s="1">
        <v>0.1</v>
      </c>
      <c r="AA143" s="1">
        <v>0</v>
      </c>
      <c r="AH143" s="1">
        <v>0</v>
      </c>
      <c r="AI143" s="1">
        <f>-AK150/AA150</f>
        <v>0.38231601544067273</v>
      </c>
      <c r="AJ143" s="1">
        <f t="shared" ref="AJ143" si="24">1-AH143</f>
        <v>1</v>
      </c>
      <c r="AK143" s="1">
        <f t="shared" si="13"/>
        <v>0</v>
      </c>
      <c r="AL143" s="1">
        <v>0.38008015912632298</v>
      </c>
      <c r="AM143">
        <v>19</v>
      </c>
      <c r="AN143">
        <f>IF(ISNUMBER(AJ143),IF(AJ143&gt;=0.05,1,0),"")</f>
        <v>1</v>
      </c>
      <c r="AO143">
        <f>IF(ISNUMBER(AJ143),IF(AJ143&lt;0.005,1,0),"")</f>
        <v>0</v>
      </c>
      <c r="AP143">
        <f>IFERROR(MATCH(0,AN143:AN150,0)-1,8)</f>
        <v>4</v>
      </c>
      <c r="AQ143" s="34">
        <f>IF(AP143&lt;3,"n&lt;3",IFERROR(-SLOPE(AK143:INDEX(AK143:AK150,AP143),AA143:INDEX(AA143:AA150,AP143)),"no fit"))</f>
        <v>0.32522250196739699</v>
      </c>
      <c r="AR143" s="35">
        <f>IF(AP143&lt;3,"",IFERROR(RSQ(AK143:INDEX(AK143:AK150,AP143),AA143:INDEX(AA143:AA150,AP143)),"flat"))</f>
        <v>0.99549707308848878</v>
      </c>
      <c r="AS143" s="36">
        <f>IFERROR(AQ143/AI143,"")</f>
        <v>0.85066408110717651</v>
      </c>
    </row>
    <row r="144" spans="1:45" ht="57" x14ac:dyDescent="0.45">
      <c r="A144" s="1" t="s">
        <v>61</v>
      </c>
      <c r="B144" s="1" t="s">
        <v>56</v>
      </c>
      <c r="C144" s="1">
        <v>107</v>
      </c>
      <c r="D144" s="1">
        <v>253.28</v>
      </c>
      <c r="E144" s="1">
        <v>0.9</v>
      </c>
      <c r="F144" s="1">
        <v>1.5549999999999999</v>
      </c>
      <c r="G144" s="1">
        <v>1.9550000000000001</v>
      </c>
      <c r="H144" s="1">
        <v>0.88</v>
      </c>
      <c r="I144" s="1">
        <v>0.95</v>
      </c>
      <c r="J144" s="1">
        <v>1.59</v>
      </c>
      <c r="K144" s="1" t="s">
        <v>57</v>
      </c>
      <c r="L144" s="1" t="s">
        <v>62</v>
      </c>
      <c r="M144" s="1">
        <v>25</v>
      </c>
      <c r="R144" s="1" t="s">
        <v>63</v>
      </c>
      <c r="S144" s="1">
        <v>307.27999999999997</v>
      </c>
      <c r="T144" s="1">
        <v>377</v>
      </c>
      <c r="U144" s="1">
        <v>1.82</v>
      </c>
      <c r="V144" s="1">
        <v>9.4</v>
      </c>
      <c r="W144" s="1">
        <v>2.5000000000000001E-2</v>
      </c>
      <c r="X144" s="1">
        <f t="shared" si="22"/>
        <v>25</v>
      </c>
      <c r="Y144" s="1">
        <v>0.1</v>
      </c>
      <c r="AA144" s="1">
        <v>0.96590909090908805</v>
      </c>
      <c r="AH144" s="1">
        <v>0.35238095238095202</v>
      </c>
      <c r="AJ144" s="1">
        <f t="shared" si="15"/>
        <v>0.64761904761904798</v>
      </c>
      <c r="AK144" s="1">
        <f t="shared" si="13"/>
        <v>-0.43445264498141611</v>
      </c>
      <c r="AM144">
        <v>19</v>
      </c>
      <c r="AN144">
        <f>IF(ISNUMBER(AJ144),IF(AJ144&gt;=0.05,1,0),"")</f>
        <v>1</v>
      </c>
      <c r="AO144">
        <f>IF(ISNUMBER(AJ144),IF(AJ144&lt;0.005,1,0),"")</f>
        <v>0</v>
      </c>
      <c r="AQ144" s="34"/>
      <c r="AR144" s="35"/>
      <c r="AS144" s="36"/>
    </row>
    <row r="145" spans="1:45" ht="57" x14ac:dyDescent="0.45">
      <c r="A145" s="1" t="s">
        <v>61</v>
      </c>
      <c r="B145" s="1" t="s">
        <v>56</v>
      </c>
      <c r="C145" s="1">
        <v>107</v>
      </c>
      <c r="D145" s="1">
        <v>253.28</v>
      </c>
      <c r="E145" s="1">
        <v>0.9</v>
      </c>
      <c r="F145" s="1">
        <v>1.5549999999999999</v>
      </c>
      <c r="G145" s="1">
        <v>1.9550000000000001</v>
      </c>
      <c r="H145" s="1">
        <v>0.88</v>
      </c>
      <c r="I145" s="1">
        <v>0.95</v>
      </c>
      <c r="J145" s="1">
        <v>1.59</v>
      </c>
      <c r="K145" s="1" t="s">
        <v>57</v>
      </c>
      <c r="L145" s="1" t="s">
        <v>62</v>
      </c>
      <c r="M145" s="1">
        <v>25</v>
      </c>
      <c r="R145" s="1" t="s">
        <v>63</v>
      </c>
      <c r="S145" s="1">
        <v>307.27999999999997</v>
      </c>
      <c r="T145" s="1">
        <v>377</v>
      </c>
      <c r="U145" s="1">
        <v>1.82</v>
      </c>
      <c r="V145" s="1">
        <v>9.4</v>
      </c>
      <c r="W145" s="1">
        <v>2.5000000000000001E-2</v>
      </c>
      <c r="X145" s="1">
        <f t="shared" si="22"/>
        <v>25</v>
      </c>
      <c r="Y145" s="1">
        <v>0.1</v>
      </c>
      <c r="AA145" s="1">
        <v>3.2386363636363602</v>
      </c>
      <c r="AH145" s="1">
        <v>0.66428571428571503</v>
      </c>
      <c r="AJ145" s="1">
        <f t="shared" si="15"/>
        <v>0.33571428571428497</v>
      </c>
      <c r="AK145" s="1">
        <f t="shared" si="13"/>
        <v>-1.0914948208992479</v>
      </c>
      <c r="AM145">
        <v>19</v>
      </c>
      <c r="AN145">
        <f>IF(ISNUMBER(AJ145),IF(AJ145&gt;=0.05,1,0),"")</f>
        <v>1</v>
      </c>
      <c r="AO145">
        <f>IF(ISNUMBER(AJ145),IF(AJ145&lt;0.005,1,0),"")</f>
        <v>0</v>
      </c>
      <c r="AQ145" s="34"/>
      <c r="AR145" s="35"/>
      <c r="AS145" s="36"/>
    </row>
    <row r="146" spans="1:45" ht="57" x14ac:dyDescent="0.45">
      <c r="A146" s="1" t="s">
        <v>61</v>
      </c>
      <c r="B146" s="1" t="s">
        <v>56</v>
      </c>
      <c r="C146" s="1">
        <v>107</v>
      </c>
      <c r="D146" s="1">
        <v>253.28</v>
      </c>
      <c r="E146" s="1">
        <v>0.9</v>
      </c>
      <c r="F146" s="1">
        <v>1.5549999999999999</v>
      </c>
      <c r="G146" s="1">
        <v>1.9550000000000001</v>
      </c>
      <c r="H146" s="1">
        <v>0.88</v>
      </c>
      <c r="I146" s="1">
        <v>0.95</v>
      </c>
      <c r="J146" s="1">
        <v>1.59</v>
      </c>
      <c r="K146" s="1" t="s">
        <v>57</v>
      </c>
      <c r="L146" s="1" t="s">
        <v>62</v>
      </c>
      <c r="M146" s="1">
        <v>25</v>
      </c>
      <c r="R146" s="1" t="s">
        <v>63</v>
      </c>
      <c r="S146" s="1">
        <v>307.27999999999997</v>
      </c>
      <c r="T146" s="1">
        <v>377</v>
      </c>
      <c r="U146" s="1">
        <v>1.82</v>
      </c>
      <c r="V146" s="1">
        <v>9.4</v>
      </c>
      <c r="W146" s="1">
        <v>2.5000000000000001E-2</v>
      </c>
      <c r="X146" s="1">
        <f t="shared" si="22"/>
        <v>25</v>
      </c>
      <c r="Y146" s="1">
        <v>0.1</v>
      </c>
      <c r="AA146" s="1">
        <v>5.1136363636363598</v>
      </c>
      <c r="AH146" s="1">
        <v>0.81904761904761902</v>
      </c>
      <c r="AJ146" s="1">
        <f t="shared" si="15"/>
        <v>0.18095238095238098</v>
      </c>
      <c r="AK146" s="1">
        <f t="shared" si="13"/>
        <v>-1.7095213709910828</v>
      </c>
      <c r="AM146">
        <v>19</v>
      </c>
      <c r="AN146">
        <f>IF(ISNUMBER(AJ146),IF(AJ146&gt;=0.05,1,0),"")</f>
        <v>1</v>
      </c>
      <c r="AO146">
        <f>IF(ISNUMBER(AJ146),IF(AJ146&lt;0.005,1,0),"")</f>
        <v>0</v>
      </c>
      <c r="AQ146" s="34"/>
      <c r="AR146" s="35"/>
      <c r="AS146" s="36"/>
    </row>
    <row r="147" spans="1:45" ht="57" x14ac:dyDescent="0.45">
      <c r="A147" s="1" t="s">
        <v>61</v>
      </c>
      <c r="B147" s="1" t="s">
        <v>56</v>
      </c>
      <c r="C147" s="1">
        <v>107</v>
      </c>
      <c r="D147" s="1">
        <v>253.28</v>
      </c>
      <c r="E147" s="1">
        <v>0.9</v>
      </c>
      <c r="F147" s="1">
        <v>1.5549999999999999</v>
      </c>
      <c r="G147" s="1">
        <v>1.9550000000000001</v>
      </c>
      <c r="H147" s="1">
        <v>0.88</v>
      </c>
      <c r="I147" s="1">
        <v>0.95</v>
      </c>
      <c r="J147" s="1">
        <v>1.59</v>
      </c>
      <c r="K147" s="1" t="s">
        <v>57</v>
      </c>
      <c r="L147" s="1" t="s">
        <v>62</v>
      </c>
      <c r="M147" s="1">
        <v>25</v>
      </c>
      <c r="R147" s="1" t="s">
        <v>63</v>
      </c>
      <c r="S147" s="1">
        <v>307.27999999999997</v>
      </c>
      <c r="T147" s="1">
        <v>377</v>
      </c>
      <c r="U147" s="1">
        <v>1.82</v>
      </c>
      <c r="V147" s="1">
        <v>9.4</v>
      </c>
      <c r="W147" s="1">
        <v>2.5000000000000001E-2</v>
      </c>
      <c r="X147" s="1">
        <f t="shared" si="22"/>
        <v>25</v>
      </c>
      <c r="Y147" s="1">
        <v>0.1</v>
      </c>
      <c r="AA147" s="1">
        <v>10</v>
      </c>
      <c r="AH147" s="1">
        <v>0.96666666666666667</v>
      </c>
      <c r="AJ147" s="1">
        <f t="shared" si="15"/>
        <v>3.3333333333333326E-2</v>
      </c>
      <c r="AK147" s="1">
        <f t="shared" si="13"/>
        <v>-3.4011973816621555</v>
      </c>
      <c r="AM147">
        <v>19</v>
      </c>
      <c r="AN147">
        <f>IF(ISNUMBER(AJ147),IF(AJ147&gt;=0.05,1,0),"")</f>
        <v>0</v>
      </c>
      <c r="AO147">
        <f>IF(ISNUMBER(AJ147),IF(AJ147&lt;0.005,1,0),"")</f>
        <v>0</v>
      </c>
      <c r="AQ147" s="34"/>
      <c r="AR147" s="35"/>
      <c r="AS147" s="36"/>
    </row>
    <row r="148" spans="1:45" ht="57" x14ac:dyDescent="0.45">
      <c r="A148" s="1" t="s">
        <v>61</v>
      </c>
      <c r="B148" s="1" t="s">
        <v>56</v>
      </c>
      <c r="C148" s="1">
        <v>107</v>
      </c>
      <c r="D148" s="1">
        <v>253.28</v>
      </c>
      <c r="E148" s="1">
        <v>0.9</v>
      </c>
      <c r="F148" s="1">
        <v>1.5549999999999999</v>
      </c>
      <c r="G148" s="1">
        <v>1.9550000000000001</v>
      </c>
      <c r="H148" s="1">
        <v>0.88</v>
      </c>
      <c r="I148" s="1">
        <v>0.95</v>
      </c>
      <c r="J148" s="1">
        <v>1.59</v>
      </c>
      <c r="K148" s="1" t="s">
        <v>57</v>
      </c>
      <c r="L148" s="1" t="s">
        <v>62</v>
      </c>
      <c r="M148" s="1">
        <v>25</v>
      </c>
      <c r="R148" s="1" t="s">
        <v>63</v>
      </c>
      <c r="S148" s="1">
        <v>307.27999999999997</v>
      </c>
      <c r="T148" s="1">
        <v>377</v>
      </c>
      <c r="U148" s="1">
        <v>1.82</v>
      </c>
      <c r="V148" s="1">
        <v>9.4</v>
      </c>
      <c r="W148" s="1">
        <v>2.5000000000000001E-2</v>
      </c>
      <c r="X148" s="1">
        <f t="shared" si="22"/>
        <v>25</v>
      </c>
      <c r="Y148" s="1">
        <v>0.1</v>
      </c>
      <c r="AA148" s="1">
        <v>15.113636363636299</v>
      </c>
      <c r="AH148" s="1">
        <v>0.99990000000000001</v>
      </c>
      <c r="AJ148" s="1">
        <f t="shared" si="15"/>
        <v>9.9999999999988987E-5</v>
      </c>
      <c r="AK148" s="1">
        <f t="shared" si="13"/>
        <v>-9.2103403719762937</v>
      </c>
      <c r="AM148">
        <v>19</v>
      </c>
      <c r="AN148">
        <f>IF(ISNUMBER(AJ148),IF(AJ148&gt;=0.05,1,0),"")</f>
        <v>0</v>
      </c>
      <c r="AO148">
        <f>IF(ISNUMBER(AJ148),IF(AJ148&lt;0.005,1,0),"")</f>
        <v>1</v>
      </c>
      <c r="AQ148" s="34"/>
      <c r="AR148" s="35"/>
      <c r="AS148" s="36"/>
    </row>
    <row r="149" spans="1:45" ht="57" x14ac:dyDescent="0.45">
      <c r="A149" s="1" t="s">
        <v>61</v>
      </c>
      <c r="B149" s="1" t="s">
        <v>56</v>
      </c>
      <c r="C149" s="1">
        <v>107</v>
      </c>
      <c r="D149" s="1">
        <v>253.28</v>
      </c>
      <c r="E149" s="1">
        <v>0.9</v>
      </c>
      <c r="F149" s="1">
        <v>1.5549999999999999</v>
      </c>
      <c r="G149" s="1">
        <v>1.9550000000000001</v>
      </c>
      <c r="H149" s="1">
        <v>0.88</v>
      </c>
      <c r="I149" s="1">
        <v>0.95</v>
      </c>
      <c r="J149" s="1">
        <v>1.59</v>
      </c>
      <c r="K149" s="1" t="s">
        <v>57</v>
      </c>
      <c r="L149" s="1" t="s">
        <v>62</v>
      </c>
      <c r="M149" s="1">
        <v>25</v>
      </c>
      <c r="R149" s="1" t="s">
        <v>63</v>
      </c>
      <c r="S149" s="1">
        <v>307.27999999999997</v>
      </c>
      <c r="T149" s="1">
        <v>377</v>
      </c>
      <c r="U149" s="1">
        <v>1.82</v>
      </c>
      <c r="V149" s="1">
        <v>9.4</v>
      </c>
      <c r="W149" s="1">
        <v>2.5000000000000001E-2</v>
      </c>
      <c r="X149" s="1">
        <f t="shared" si="22"/>
        <v>25</v>
      </c>
      <c r="Y149" s="1">
        <v>0.1</v>
      </c>
      <c r="AA149" s="1">
        <v>20.113636363636299</v>
      </c>
      <c r="AH149" s="1">
        <v>0.99997999999999998</v>
      </c>
      <c r="AJ149" s="1">
        <f t="shared" si="15"/>
        <v>2.0000000000020002E-5</v>
      </c>
      <c r="AK149" s="1">
        <f t="shared" si="13"/>
        <v>-10.819778284409283</v>
      </c>
      <c r="AM149">
        <v>19</v>
      </c>
      <c r="AN149">
        <f>IF(ISNUMBER(AJ149),IF(AJ149&gt;=0.05,1,0),"")</f>
        <v>0</v>
      </c>
      <c r="AO149">
        <f>IF(ISNUMBER(AJ149),IF(AJ149&lt;0.005,1,0),"")</f>
        <v>1</v>
      </c>
      <c r="AQ149" s="34"/>
      <c r="AR149" s="35"/>
      <c r="AS149" s="36"/>
    </row>
    <row r="150" spans="1:45" ht="57" x14ac:dyDescent="0.45">
      <c r="A150" s="1" t="s">
        <v>61</v>
      </c>
      <c r="B150" s="1" t="s">
        <v>56</v>
      </c>
      <c r="C150" s="1">
        <v>107</v>
      </c>
      <c r="D150" s="1">
        <v>253.28</v>
      </c>
      <c r="E150" s="1">
        <v>0.9</v>
      </c>
      <c r="F150" s="1">
        <v>1.5549999999999999</v>
      </c>
      <c r="G150" s="1">
        <v>1.9550000000000001</v>
      </c>
      <c r="H150" s="1">
        <v>0.88</v>
      </c>
      <c r="I150" s="1">
        <v>0.95</v>
      </c>
      <c r="J150" s="1">
        <v>1.59</v>
      </c>
      <c r="K150" s="1" t="s">
        <v>57</v>
      </c>
      <c r="L150" s="1" t="s">
        <v>62</v>
      </c>
      <c r="M150" s="1">
        <v>25</v>
      </c>
      <c r="R150" s="1" t="s">
        <v>63</v>
      </c>
      <c r="S150" s="1">
        <v>307.27999999999997</v>
      </c>
      <c r="T150" s="1">
        <v>377</v>
      </c>
      <c r="U150" s="1">
        <v>1.82</v>
      </c>
      <c r="V150" s="1">
        <v>9.4</v>
      </c>
      <c r="W150" s="1">
        <v>2.5000000000000001E-2</v>
      </c>
      <c r="X150" s="1">
        <f t="shared" si="22"/>
        <v>25</v>
      </c>
      <c r="Y150" s="1">
        <v>0.1</v>
      </c>
      <c r="AA150" s="1">
        <v>30.113636363636299</v>
      </c>
      <c r="AH150" s="1">
        <v>0.99999000000000005</v>
      </c>
      <c r="AJ150" s="1">
        <f t="shared" si="15"/>
        <v>9.9999999999544897E-6</v>
      </c>
      <c r="AK150" s="1">
        <f t="shared" si="13"/>
        <v>-11.51292546497478</v>
      </c>
      <c r="AM150">
        <v>19</v>
      </c>
      <c r="AN150">
        <f>IF(ISNUMBER(AJ150),IF(AJ150&gt;=0.05,1,0),"")</f>
        <v>0</v>
      </c>
      <c r="AO150">
        <f>IF(ISNUMBER(AJ150),IF(AJ150&lt;0.005,1,0),"")</f>
        <v>1</v>
      </c>
      <c r="AQ150" s="34"/>
      <c r="AR150" s="35"/>
      <c r="AS150" s="36"/>
    </row>
    <row r="151" spans="1:45" ht="57" x14ac:dyDescent="0.45">
      <c r="A151" s="1" t="s">
        <v>61</v>
      </c>
      <c r="B151" s="1" t="s">
        <v>56</v>
      </c>
      <c r="C151" s="1">
        <v>107</v>
      </c>
      <c r="D151" s="1">
        <v>253.28</v>
      </c>
      <c r="E151" s="1">
        <v>0.9</v>
      </c>
      <c r="F151" s="1">
        <v>1.5549999999999999</v>
      </c>
      <c r="G151" s="1">
        <v>1.9550000000000001</v>
      </c>
      <c r="H151" s="1">
        <v>0.88</v>
      </c>
      <c r="I151" s="1">
        <v>0.95</v>
      </c>
      <c r="J151" s="1">
        <v>1.59</v>
      </c>
      <c r="K151" s="1" t="s">
        <v>57</v>
      </c>
      <c r="L151" s="1" t="s">
        <v>62</v>
      </c>
      <c r="M151" s="1">
        <v>25</v>
      </c>
      <c r="R151" s="1" t="s">
        <v>63</v>
      </c>
      <c r="S151" s="1">
        <v>307.27999999999997</v>
      </c>
      <c r="T151" s="1">
        <v>377</v>
      </c>
      <c r="U151" s="1">
        <v>1.82</v>
      </c>
      <c r="V151" s="1">
        <v>9.4</v>
      </c>
      <c r="W151" s="1">
        <v>2.5000000000000001E-2</v>
      </c>
      <c r="X151" s="1">
        <f t="shared" si="22"/>
        <v>25</v>
      </c>
      <c r="Y151" s="1">
        <v>0.15</v>
      </c>
      <c r="AA151" s="1">
        <v>0</v>
      </c>
      <c r="AH151" s="1">
        <v>0</v>
      </c>
      <c r="AI151" s="1">
        <f>-AK158/AA158</f>
        <v>0.38087873718713589</v>
      </c>
      <c r="AJ151" s="1">
        <f t="shared" ref="AJ151" si="25">1-AH151</f>
        <v>1</v>
      </c>
      <c r="AK151" s="1">
        <f t="shared" ref="AK151:AK224" si="26">LN(AJ151)</f>
        <v>0</v>
      </c>
      <c r="AL151" s="1">
        <v>0.382787323662864</v>
      </c>
      <c r="AM151">
        <v>20</v>
      </c>
      <c r="AN151">
        <f>IF(ISNUMBER(AJ151),IF(AJ151&gt;=0.05,1,0),"")</f>
        <v>1</v>
      </c>
      <c r="AO151">
        <f>IF(ISNUMBER(AJ151),IF(AJ151&lt;0.005,1,0),"")</f>
        <v>0</v>
      </c>
      <c r="AP151">
        <f>IFERROR(MATCH(0,AN151:AN158,0)-1,8)</f>
        <v>5</v>
      </c>
      <c r="AQ151" s="34">
        <f>IF(AP151&lt;3,"n&lt;3",IFERROR(-SLOPE(AK151:INDEX(AK151:AK158,AP151),AA151:INDEX(AA151:AA158,AP151)),"no fit"))</f>
        <v>0.28859165236849443</v>
      </c>
      <c r="AR151" s="35">
        <f>IF(AP151&lt;3,"",IFERROR(RSQ(AK151:INDEX(AK151:AK158,AP151),AA151:INDEX(AA151:AA158,AP151)),"flat"))</f>
        <v>0.99847337282788073</v>
      </c>
      <c r="AS151" s="36">
        <f>IFERROR(AQ151/AI151,"")</f>
        <v>0.75769956207007072</v>
      </c>
    </row>
    <row r="152" spans="1:45" ht="57" x14ac:dyDescent="0.45">
      <c r="A152" s="1" t="s">
        <v>61</v>
      </c>
      <c r="B152" s="1" t="s">
        <v>56</v>
      </c>
      <c r="C152" s="1">
        <v>107</v>
      </c>
      <c r="D152" s="1">
        <v>253.28</v>
      </c>
      <c r="E152" s="1">
        <v>0.9</v>
      </c>
      <c r="F152" s="1">
        <v>1.5549999999999999</v>
      </c>
      <c r="G152" s="1">
        <v>1.9550000000000001</v>
      </c>
      <c r="H152" s="1">
        <v>0.88</v>
      </c>
      <c r="I152" s="1">
        <v>0.95</v>
      </c>
      <c r="J152" s="1">
        <v>1.59</v>
      </c>
      <c r="K152" s="1" t="s">
        <v>57</v>
      </c>
      <c r="L152" s="1" t="s">
        <v>62</v>
      </c>
      <c r="M152" s="1">
        <v>25</v>
      </c>
      <c r="R152" s="1" t="s">
        <v>63</v>
      </c>
      <c r="S152" s="1">
        <v>307.27999999999997</v>
      </c>
      <c r="T152" s="1">
        <v>377</v>
      </c>
      <c r="U152" s="1">
        <v>1.82</v>
      </c>
      <c r="V152" s="1">
        <v>9.4</v>
      </c>
      <c r="W152" s="1">
        <v>2.5000000000000001E-2</v>
      </c>
      <c r="X152" s="1">
        <f t="shared" si="22"/>
        <v>25</v>
      </c>
      <c r="Y152" s="1">
        <v>0.15</v>
      </c>
      <c r="AA152" s="1">
        <v>1.13636363636363</v>
      </c>
      <c r="AH152" s="1">
        <v>0.31428571428571495</v>
      </c>
      <c r="AJ152" s="1">
        <f t="shared" si="15"/>
        <v>0.68571428571428505</v>
      </c>
      <c r="AK152" s="1">
        <f t="shared" si="26"/>
        <v>-0.37729423114146904</v>
      </c>
      <c r="AM152">
        <v>20</v>
      </c>
      <c r="AN152">
        <f>IF(ISNUMBER(AJ152),IF(AJ152&gt;=0.05,1,0),"")</f>
        <v>1</v>
      </c>
      <c r="AO152">
        <f>IF(ISNUMBER(AJ152),IF(AJ152&lt;0.005,1,0),"")</f>
        <v>0</v>
      </c>
      <c r="AQ152" s="34"/>
      <c r="AR152" s="35"/>
      <c r="AS152" s="36"/>
    </row>
    <row r="153" spans="1:45" ht="57" x14ac:dyDescent="0.45">
      <c r="A153" s="1" t="s">
        <v>61</v>
      </c>
      <c r="B153" s="1" t="s">
        <v>56</v>
      </c>
      <c r="C153" s="1">
        <v>107</v>
      </c>
      <c r="D153" s="1">
        <v>253.28</v>
      </c>
      <c r="E153" s="1">
        <v>0.9</v>
      </c>
      <c r="F153" s="1">
        <v>1.5549999999999999</v>
      </c>
      <c r="G153" s="1">
        <v>1.9550000000000001</v>
      </c>
      <c r="H153" s="1">
        <v>0.88</v>
      </c>
      <c r="I153" s="1">
        <v>0.95</v>
      </c>
      <c r="J153" s="1">
        <v>1.59</v>
      </c>
      <c r="K153" s="1" t="s">
        <v>57</v>
      </c>
      <c r="L153" s="1" t="s">
        <v>62</v>
      </c>
      <c r="M153" s="1">
        <v>25</v>
      </c>
      <c r="R153" s="1" t="s">
        <v>63</v>
      </c>
      <c r="S153" s="1">
        <v>307.27999999999997</v>
      </c>
      <c r="T153" s="1">
        <v>377</v>
      </c>
      <c r="U153" s="1">
        <v>1.82</v>
      </c>
      <c r="V153" s="1">
        <v>9.4</v>
      </c>
      <c r="W153" s="1">
        <v>2.5000000000000001E-2</v>
      </c>
      <c r="X153" s="1">
        <f t="shared" si="22"/>
        <v>25</v>
      </c>
      <c r="Y153" s="1">
        <v>0.15</v>
      </c>
      <c r="AA153" s="1">
        <v>3.125</v>
      </c>
      <c r="AH153" s="1">
        <v>0.58333333333333304</v>
      </c>
      <c r="AJ153" s="1">
        <f t="shared" ref="AJ153:AJ225" si="27">1-AH153</f>
        <v>0.41666666666666696</v>
      </c>
      <c r="AK153" s="1">
        <f t="shared" si="26"/>
        <v>-0.87546873735389918</v>
      </c>
      <c r="AM153">
        <v>20</v>
      </c>
      <c r="AN153">
        <f>IF(ISNUMBER(AJ153),IF(AJ153&gt;=0.05,1,0),"")</f>
        <v>1</v>
      </c>
      <c r="AO153">
        <f>IF(ISNUMBER(AJ153),IF(AJ153&lt;0.005,1,0),"")</f>
        <v>0</v>
      </c>
      <c r="AQ153" s="34"/>
      <c r="AR153" s="35"/>
      <c r="AS153" s="36"/>
    </row>
    <row r="154" spans="1:45" ht="57" x14ac:dyDescent="0.45">
      <c r="A154" s="1" t="s">
        <v>61</v>
      </c>
      <c r="B154" s="1" t="s">
        <v>56</v>
      </c>
      <c r="C154" s="1">
        <v>107</v>
      </c>
      <c r="D154" s="1">
        <v>253.28</v>
      </c>
      <c r="E154" s="1">
        <v>0.9</v>
      </c>
      <c r="F154" s="1">
        <v>1.5549999999999999</v>
      </c>
      <c r="G154" s="1">
        <v>1.9550000000000001</v>
      </c>
      <c r="H154" s="1">
        <v>0.88</v>
      </c>
      <c r="I154" s="1">
        <v>0.95</v>
      </c>
      <c r="J154" s="1">
        <v>1.59</v>
      </c>
      <c r="K154" s="1" t="s">
        <v>57</v>
      </c>
      <c r="L154" s="1" t="s">
        <v>62</v>
      </c>
      <c r="M154" s="1">
        <v>25</v>
      </c>
      <c r="R154" s="1" t="s">
        <v>63</v>
      </c>
      <c r="S154" s="1">
        <v>307.27999999999997</v>
      </c>
      <c r="T154" s="1">
        <v>377</v>
      </c>
      <c r="U154" s="1">
        <v>1.82</v>
      </c>
      <c r="V154" s="1">
        <v>9.4</v>
      </c>
      <c r="W154" s="1">
        <v>2.5000000000000001E-2</v>
      </c>
      <c r="X154" s="1">
        <f t="shared" si="22"/>
        <v>25</v>
      </c>
      <c r="Y154" s="1">
        <v>0.15</v>
      </c>
      <c r="AA154" s="1">
        <v>5.0568181818181799</v>
      </c>
      <c r="AH154" s="1">
        <v>0.75238095238095304</v>
      </c>
      <c r="AJ154" s="1">
        <f t="shared" si="27"/>
        <v>0.24761904761904696</v>
      </c>
      <c r="AK154" s="1">
        <f t="shared" si="26"/>
        <v>-1.395863812136044</v>
      </c>
      <c r="AM154">
        <v>20</v>
      </c>
      <c r="AN154">
        <f>IF(ISNUMBER(AJ154),IF(AJ154&gt;=0.05,1,0),"")</f>
        <v>1</v>
      </c>
      <c r="AO154">
        <f>IF(ISNUMBER(AJ154),IF(AJ154&lt;0.005,1,0),"")</f>
        <v>0</v>
      </c>
      <c r="AQ154" s="34"/>
      <c r="AR154" s="35"/>
      <c r="AS154" s="36"/>
    </row>
    <row r="155" spans="1:45" ht="57" x14ac:dyDescent="0.45">
      <c r="A155" s="1" t="s">
        <v>61</v>
      </c>
      <c r="B155" s="1" t="s">
        <v>56</v>
      </c>
      <c r="C155" s="1">
        <v>107</v>
      </c>
      <c r="D155" s="1">
        <v>253.28</v>
      </c>
      <c r="E155" s="1">
        <v>0.9</v>
      </c>
      <c r="F155" s="1">
        <v>1.5549999999999999</v>
      </c>
      <c r="G155" s="1">
        <v>1.9550000000000001</v>
      </c>
      <c r="H155" s="1">
        <v>0.88</v>
      </c>
      <c r="I155" s="1">
        <v>0.95</v>
      </c>
      <c r="J155" s="1">
        <v>1.59</v>
      </c>
      <c r="K155" s="1" t="s">
        <v>57</v>
      </c>
      <c r="L155" s="1" t="s">
        <v>62</v>
      </c>
      <c r="M155" s="1">
        <v>25</v>
      </c>
      <c r="R155" s="1" t="s">
        <v>63</v>
      </c>
      <c r="S155" s="1">
        <v>307.27999999999997</v>
      </c>
      <c r="T155" s="1">
        <v>377</v>
      </c>
      <c r="U155" s="1">
        <v>1.82</v>
      </c>
      <c r="V155" s="1">
        <v>9.4</v>
      </c>
      <c r="W155" s="1">
        <v>2.5000000000000001E-2</v>
      </c>
      <c r="X155" s="1">
        <f t="shared" si="22"/>
        <v>25</v>
      </c>
      <c r="Y155" s="1">
        <v>0.15</v>
      </c>
      <c r="AA155" s="1">
        <v>10.113636363636299</v>
      </c>
      <c r="AH155" s="1">
        <v>0.94761904761904736</v>
      </c>
      <c r="AJ155" s="1">
        <f t="shared" si="27"/>
        <v>5.2380952380952639E-2</v>
      </c>
      <c r="AK155" s="1">
        <f t="shared" si="26"/>
        <v>-2.9492122579190934</v>
      </c>
      <c r="AM155">
        <v>20</v>
      </c>
      <c r="AN155">
        <f>IF(ISNUMBER(AJ155),IF(AJ155&gt;=0.05,1,0),"")</f>
        <v>1</v>
      </c>
      <c r="AO155">
        <f>IF(ISNUMBER(AJ155),IF(AJ155&lt;0.005,1,0),"")</f>
        <v>0</v>
      </c>
      <c r="AQ155" s="34"/>
      <c r="AR155" s="35"/>
      <c r="AS155" s="36"/>
    </row>
    <row r="156" spans="1:45" ht="57" x14ac:dyDescent="0.45">
      <c r="A156" s="1" t="s">
        <v>61</v>
      </c>
      <c r="B156" s="1" t="s">
        <v>56</v>
      </c>
      <c r="C156" s="1">
        <v>107</v>
      </c>
      <c r="D156" s="1">
        <v>253.28</v>
      </c>
      <c r="E156" s="1">
        <v>0.9</v>
      </c>
      <c r="F156" s="1">
        <v>1.5549999999999999</v>
      </c>
      <c r="G156" s="1">
        <v>1.9550000000000001</v>
      </c>
      <c r="H156" s="1">
        <v>0.88</v>
      </c>
      <c r="I156" s="1">
        <v>0.95</v>
      </c>
      <c r="J156" s="1">
        <v>1.59</v>
      </c>
      <c r="K156" s="1" t="s">
        <v>57</v>
      </c>
      <c r="L156" s="1" t="s">
        <v>62</v>
      </c>
      <c r="M156" s="1">
        <v>25</v>
      </c>
      <c r="R156" s="1" t="s">
        <v>63</v>
      </c>
      <c r="S156" s="1">
        <v>307.27999999999997</v>
      </c>
      <c r="T156" s="1">
        <v>377</v>
      </c>
      <c r="U156" s="1">
        <v>1.82</v>
      </c>
      <c r="V156" s="1">
        <v>9.4</v>
      </c>
      <c r="W156" s="1">
        <v>2.5000000000000001E-2</v>
      </c>
      <c r="X156" s="1">
        <f t="shared" si="22"/>
        <v>25</v>
      </c>
      <c r="Y156" s="1">
        <v>0.15</v>
      </c>
      <c r="AA156" s="1">
        <v>15.113636363636299</v>
      </c>
      <c r="AH156" s="1">
        <v>0.99761904761904741</v>
      </c>
      <c r="AJ156" s="1">
        <f t="shared" si="27"/>
        <v>2.3809523809525945E-3</v>
      </c>
      <c r="AK156" s="1">
        <f t="shared" si="26"/>
        <v>-6.0402547112773242</v>
      </c>
      <c r="AM156">
        <v>20</v>
      </c>
      <c r="AN156">
        <f>IF(ISNUMBER(AJ156),IF(AJ156&gt;=0.05,1,0),"")</f>
        <v>0</v>
      </c>
      <c r="AO156">
        <f>IF(ISNUMBER(AJ156),IF(AJ156&lt;0.005,1,0),"")</f>
        <v>1</v>
      </c>
      <c r="AQ156" s="34"/>
      <c r="AR156" s="35"/>
      <c r="AS156" s="36"/>
    </row>
    <row r="157" spans="1:45" ht="57" x14ac:dyDescent="0.45">
      <c r="A157" s="1" t="s">
        <v>61</v>
      </c>
      <c r="B157" s="1" t="s">
        <v>56</v>
      </c>
      <c r="C157" s="1">
        <v>107</v>
      </c>
      <c r="D157" s="1">
        <v>253.28</v>
      </c>
      <c r="E157" s="1">
        <v>0.9</v>
      </c>
      <c r="F157" s="1">
        <v>1.5549999999999999</v>
      </c>
      <c r="G157" s="1">
        <v>1.9550000000000001</v>
      </c>
      <c r="H157" s="1">
        <v>0.88</v>
      </c>
      <c r="I157" s="1">
        <v>0.95</v>
      </c>
      <c r="J157" s="1">
        <v>1.59</v>
      </c>
      <c r="K157" s="1" t="s">
        <v>57</v>
      </c>
      <c r="L157" s="1" t="s">
        <v>62</v>
      </c>
      <c r="M157" s="1">
        <v>25</v>
      </c>
      <c r="R157" s="1" t="s">
        <v>63</v>
      </c>
      <c r="S157" s="1">
        <v>307.27999999999997</v>
      </c>
      <c r="T157" s="1">
        <v>377</v>
      </c>
      <c r="U157" s="1">
        <v>1.82</v>
      </c>
      <c r="V157" s="1">
        <v>9.4</v>
      </c>
      <c r="W157" s="1">
        <v>2.5000000000000001E-2</v>
      </c>
      <c r="X157" s="1">
        <f t="shared" si="22"/>
        <v>25</v>
      </c>
      <c r="Y157" s="1">
        <v>0.15</v>
      </c>
      <c r="AA157" s="1">
        <v>20.397727272727199</v>
      </c>
      <c r="AH157" s="1">
        <v>0.99997999999999998</v>
      </c>
      <c r="AJ157" s="1">
        <f t="shared" si="27"/>
        <v>2.0000000000020002E-5</v>
      </c>
      <c r="AK157" s="1">
        <f t="shared" si="26"/>
        <v>-10.819778284409283</v>
      </c>
      <c r="AM157">
        <v>20</v>
      </c>
      <c r="AN157">
        <f>IF(ISNUMBER(AJ157),IF(AJ157&gt;=0.05,1,0),"")</f>
        <v>0</v>
      </c>
      <c r="AO157">
        <f>IF(ISNUMBER(AJ157),IF(AJ157&lt;0.005,1,0),"")</f>
        <v>1</v>
      </c>
      <c r="AQ157" s="34"/>
      <c r="AR157" s="35"/>
      <c r="AS157" s="36"/>
    </row>
    <row r="158" spans="1:45" ht="57" x14ac:dyDescent="0.45">
      <c r="A158" s="1" t="s">
        <v>61</v>
      </c>
      <c r="B158" s="1" t="s">
        <v>56</v>
      </c>
      <c r="C158" s="1">
        <v>107</v>
      </c>
      <c r="D158" s="1">
        <v>253.28</v>
      </c>
      <c r="E158" s="1">
        <v>0.9</v>
      </c>
      <c r="F158" s="1">
        <v>1.5549999999999999</v>
      </c>
      <c r="G158" s="1">
        <v>1.9550000000000001</v>
      </c>
      <c r="H158" s="1">
        <v>0.88</v>
      </c>
      <c r="I158" s="1">
        <v>0.95</v>
      </c>
      <c r="J158" s="1">
        <v>1.59</v>
      </c>
      <c r="K158" s="1" t="s">
        <v>57</v>
      </c>
      <c r="L158" s="1" t="s">
        <v>62</v>
      </c>
      <c r="M158" s="1">
        <v>25</v>
      </c>
      <c r="R158" s="1" t="s">
        <v>63</v>
      </c>
      <c r="S158" s="1">
        <v>307.27999999999997</v>
      </c>
      <c r="T158" s="1">
        <v>377</v>
      </c>
      <c r="U158" s="1">
        <v>1.82</v>
      </c>
      <c r="V158" s="1">
        <v>9.4</v>
      </c>
      <c r="W158" s="1">
        <v>2.5000000000000001E-2</v>
      </c>
      <c r="X158" s="1">
        <f t="shared" si="22"/>
        <v>25</v>
      </c>
      <c r="Y158" s="1">
        <v>0.15</v>
      </c>
      <c r="AA158" s="1">
        <v>30.227272727272702</v>
      </c>
      <c r="AH158" s="1">
        <v>0.99999000000000005</v>
      </c>
      <c r="AJ158" s="1">
        <f t="shared" si="27"/>
        <v>9.9999999999544897E-6</v>
      </c>
      <c r="AK158" s="1">
        <f t="shared" si="26"/>
        <v>-11.51292546497478</v>
      </c>
      <c r="AM158">
        <v>20</v>
      </c>
      <c r="AN158">
        <f>IF(ISNUMBER(AJ158),IF(AJ158&gt;=0.05,1,0),"")</f>
        <v>0</v>
      </c>
      <c r="AO158">
        <f>IF(ISNUMBER(AJ158),IF(AJ158&lt;0.005,1,0),"")</f>
        <v>1</v>
      </c>
      <c r="AQ158" s="34"/>
      <c r="AR158" s="35"/>
      <c r="AS158" s="36"/>
    </row>
    <row r="159" spans="1:45" ht="57" x14ac:dyDescent="0.45">
      <c r="A159" s="1" t="s">
        <v>61</v>
      </c>
      <c r="B159" s="1" t="s">
        <v>56</v>
      </c>
      <c r="C159" s="1">
        <v>107</v>
      </c>
      <c r="D159" s="1">
        <v>253.28</v>
      </c>
      <c r="E159" s="1">
        <v>0.9</v>
      </c>
      <c r="F159" s="1">
        <v>1.5549999999999999</v>
      </c>
      <c r="G159" s="1">
        <v>1.9550000000000001</v>
      </c>
      <c r="H159" s="1">
        <v>0.88</v>
      </c>
      <c r="I159" s="1">
        <v>0.95</v>
      </c>
      <c r="J159" s="1">
        <v>1.59</v>
      </c>
      <c r="K159" s="1" t="s">
        <v>57</v>
      </c>
      <c r="L159" s="1" t="s">
        <v>62</v>
      </c>
      <c r="M159" s="1">
        <v>25</v>
      </c>
      <c r="R159" s="1" t="s">
        <v>63</v>
      </c>
      <c r="S159" s="1">
        <v>307.27999999999997</v>
      </c>
      <c r="T159" s="1">
        <v>377</v>
      </c>
      <c r="U159" s="1">
        <v>1.82</v>
      </c>
      <c r="V159" s="1">
        <v>9.4</v>
      </c>
      <c r="W159" s="1">
        <v>2.5000000000000001E-2</v>
      </c>
      <c r="X159" s="1">
        <f t="shared" si="22"/>
        <v>25</v>
      </c>
      <c r="Y159" s="1">
        <v>0.2</v>
      </c>
      <c r="AA159" s="1">
        <v>0</v>
      </c>
      <c r="AH159" s="1">
        <v>0</v>
      </c>
      <c r="AI159" s="1">
        <f>-AK166/AA166</f>
        <v>0.37874296856739553</v>
      </c>
      <c r="AJ159" s="1">
        <f t="shared" ref="AJ159" si="28">1-AH159</f>
        <v>1</v>
      </c>
      <c r="AK159" s="1">
        <f t="shared" si="26"/>
        <v>0</v>
      </c>
      <c r="AL159" s="1">
        <v>0.379472490534078</v>
      </c>
      <c r="AM159">
        <v>21</v>
      </c>
      <c r="AN159">
        <f>IF(ISNUMBER(AJ159),IF(AJ159&gt;=0.05,1,0),"")</f>
        <v>1</v>
      </c>
      <c r="AO159">
        <f>IF(ISNUMBER(AJ159),IF(AJ159&lt;0.005,1,0),"")</f>
        <v>0</v>
      </c>
      <c r="AP159">
        <f>IFERROR(MATCH(0,AN159:AN166,0)-1,8)</f>
        <v>4</v>
      </c>
      <c r="AQ159" s="34">
        <f>IF(AP159&lt;3,"n&lt;3",IFERROR(-SLOPE(AK159:INDEX(AK159:AK166,AP159),AA159:INDEX(AA159:AA166,AP159)),"no fit"))</f>
        <v>0.32216230006714069</v>
      </c>
      <c r="AR159" s="35">
        <f>IF(AP159&lt;3,"",IFERROR(RSQ(AK159:INDEX(AK159:AK166,AP159),AA159:INDEX(AA159:AA166,AP159)),"flat"))</f>
        <v>0.99928611209069018</v>
      </c>
      <c r="AS159" s="36">
        <f>IFERROR(AQ159/AI159,"")</f>
        <v>0.85060932295516245</v>
      </c>
    </row>
    <row r="160" spans="1:45" ht="57" x14ac:dyDescent="0.45">
      <c r="A160" s="1" t="s">
        <v>61</v>
      </c>
      <c r="B160" s="1" t="s">
        <v>56</v>
      </c>
      <c r="C160" s="1">
        <v>107</v>
      </c>
      <c r="D160" s="1">
        <v>253.28</v>
      </c>
      <c r="E160" s="1">
        <v>0.9</v>
      </c>
      <c r="F160" s="1">
        <v>1.5549999999999999</v>
      </c>
      <c r="G160" s="1">
        <v>1.9550000000000001</v>
      </c>
      <c r="H160" s="1">
        <v>0.88</v>
      </c>
      <c r="I160" s="1">
        <v>0.95</v>
      </c>
      <c r="J160" s="1">
        <v>1.59</v>
      </c>
      <c r="K160" s="1" t="s">
        <v>57</v>
      </c>
      <c r="L160" s="1" t="s">
        <v>62</v>
      </c>
      <c r="M160" s="1">
        <v>25</v>
      </c>
      <c r="R160" s="1" t="s">
        <v>63</v>
      </c>
      <c r="S160" s="1">
        <v>307.27999999999997</v>
      </c>
      <c r="T160" s="1">
        <v>377</v>
      </c>
      <c r="U160" s="1">
        <v>1.82</v>
      </c>
      <c r="V160" s="1">
        <v>9.4</v>
      </c>
      <c r="W160" s="1">
        <v>2.5000000000000001E-2</v>
      </c>
      <c r="X160" s="1">
        <f t="shared" si="22"/>
        <v>25</v>
      </c>
      <c r="Y160" s="1">
        <v>0.2</v>
      </c>
      <c r="AA160" s="1">
        <v>1.13636363636363</v>
      </c>
      <c r="AH160" s="1">
        <v>0.33571428571428596</v>
      </c>
      <c r="AJ160" s="1">
        <f t="shared" si="27"/>
        <v>0.66428571428571404</v>
      </c>
      <c r="AK160" s="1">
        <f t="shared" si="26"/>
        <v>-0.40904292945604875</v>
      </c>
      <c r="AM160">
        <v>21</v>
      </c>
      <c r="AN160">
        <f>IF(ISNUMBER(AJ160),IF(AJ160&gt;=0.05,1,0),"")</f>
        <v>1</v>
      </c>
      <c r="AO160">
        <f>IF(ISNUMBER(AJ160),IF(AJ160&lt;0.005,1,0),"")</f>
        <v>0</v>
      </c>
      <c r="AQ160" s="34"/>
      <c r="AR160" s="35"/>
      <c r="AS160" s="36"/>
    </row>
    <row r="161" spans="1:45" ht="57" x14ac:dyDescent="0.45">
      <c r="A161" s="1" t="s">
        <v>61</v>
      </c>
      <c r="B161" s="1" t="s">
        <v>56</v>
      </c>
      <c r="C161" s="1">
        <v>107</v>
      </c>
      <c r="D161" s="1">
        <v>253.28</v>
      </c>
      <c r="E161" s="1">
        <v>0.9</v>
      </c>
      <c r="F161" s="1">
        <v>1.5549999999999999</v>
      </c>
      <c r="G161" s="1">
        <v>1.9550000000000001</v>
      </c>
      <c r="H161" s="1">
        <v>0.88</v>
      </c>
      <c r="I161" s="1">
        <v>0.95</v>
      </c>
      <c r="J161" s="1">
        <v>1.59</v>
      </c>
      <c r="K161" s="1" t="s">
        <v>57</v>
      </c>
      <c r="L161" s="1" t="s">
        <v>62</v>
      </c>
      <c r="M161" s="1">
        <v>25</v>
      </c>
      <c r="R161" s="1" t="s">
        <v>63</v>
      </c>
      <c r="S161" s="1">
        <v>307.27999999999997</v>
      </c>
      <c r="T161" s="1">
        <v>377</v>
      </c>
      <c r="U161" s="1">
        <v>1.82</v>
      </c>
      <c r="V161" s="1">
        <v>9.4</v>
      </c>
      <c r="W161" s="1">
        <v>2.5000000000000001E-2</v>
      </c>
      <c r="X161" s="1">
        <f t="shared" si="22"/>
        <v>25</v>
      </c>
      <c r="Y161" s="1">
        <v>0.2</v>
      </c>
      <c r="AA161" s="1">
        <v>3.125</v>
      </c>
      <c r="AH161" s="1">
        <v>0.63571428571428601</v>
      </c>
      <c r="AJ161" s="1">
        <f t="shared" si="27"/>
        <v>0.36428571428571399</v>
      </c>
      <c r="AK161" s="1">
        <f t="shared" si="26"/>
        <v>-1.0098167898849792</v>
      </c>
      <c r="AM161">
        <v>21</v>
      </c>
      <c r="AN161">
        <f>IF(ISNUMBER(AJ161),IF(AJ161&gt;=0.05,1,0),"")</f>
        <v>1</v>
      </c>
      <c r="AO161">
        <f>IF(ISNUMBER(AJ161),IF(AJ161&lt;0.005,1,0),"")</f>
        <v>0</v>
      </c>
      <c r="AQ161" s="34"/>
      <c r="AR161" s="35"/>
      <c r="AS161" s="36"/>
    </row>
    <row r="162" spans="1:45" ht="57" x14ac:dyDescent="0.45">
      <c r="A162" s="1" t="s">
        <v>61</v>
      </c>
      <c r="B162" s="1" t="s">
        <v>56</v>
      </c>
      <c r="C162" s="1">
        <v>107</v>
      </c>
      <c r="D162" s="1">
        <v>253.28</v>
      </c>
      <c r="E162" s="1">
        <v>0.9</v>
      </c>
      <c r="F162" s="1">
        <v>1.5549999999999999</v>
      </c>
      <c r="G162" s="1">
        <v>1.9550000000000001</v>
      </c>
      <c r="H162" s="1">
        <v>0.88</v>
      </c>
      <c r="I162" s="1">
        <v>0.95</v>
      </c>
      <c r="J162" s="1">
        <v>1.59</v>
      </c>
      <c r="K162" s="1" t="s">
        <v>57</v>
      </c>
      <c r="L162" s="1" t="s">
        <v>62</v>
      </c>
      <c r="M162" s="1">
        <v>25</v>
      </c>
      <c r="R162" s="1" t="s">
        <v>63</v>
      </c>
      <c r="S162" s="1">
        <v>307.27999999999997</v>
      </c>
      <c r="T162" s="1">
        <v>377</v>
      </c>
      <c r="U162" s="1">
        <v>1.82</v>
      </c>
      <c r="V162" s="1">
        <v>9.4</v>
      </c>
      <c r="W162" s="1">
        <v>2.5000000000000001E-2</v>
      </c>
      <c r="X162" s="1">
        <f t="shared" si="22"/>
        <v>25</v>
      </c>
      <c r="Y162" s="1">
        <v>0.2</v>
      </c>
      <c r="AA162" s="1">
        <v>5.1704545454545396</v>
      </c>
      <c r="AH162" s="1">
        <v>0.81428571428571495</v>
      </c>
      <c r="AJ162" s="1">
        <f t="shared" si="27"/>
        <v>0.18571428571428505</v>
      </c>
      <c r="AK162" s="1">
        <f t="shared" si="26"/>
        <v>-1.6835458845878257</v>
      </c>
      <c r="AM162">
        <v>21</v>
      </c>
      <c r="AN162">
        <f>IF(ISNUMBER(AJ162),IF(AJ162&gt;=0.05,1,0),"")</f>
        <v>1</v>
      </c>
      <c r="AO162">
        <f>IF(ISNUMBER(AJ162),IF(AJ162&lt;0.005,1,0),"")</f>
        <v>0</v>
      </c>
      <c r="AQ162" s="34"/>
      <c r="AR162" s="35"/>
      <c r="AS162" s="36"/>
    </row>
    <row r="163" spans="1:45" ht="57" x14ac:dyDescent="0.45">
      <c r="A163" s="1" t="s">
        <v>61</v>
      </c>
      <c r="B163" s="1" t="s">
        <v>56</v>
      </c>
      <c r="C163" s="1">
        <v>107</v>
      </c>
      <c r="D163" s="1">
        <v>253.28</v>
      </c>
      <c r="E163" s="1">
        <v>0.9</v>
      </c>
      <c r="F163" s="1">
        <v>1.5549999999999999</v>
      </c>
      <c r="G163" s="1">
        <v>1.9550000000000001</v>
      </c>
      <c r="H163" s="1">
        <v>0.88</v>
      </c>
      <c r="I163" s="1">
        <v>0.95</v>
      </c>
      <c r="J163" s="1">
        <v>1.59</v>
      </c>
      <c r="K163" s="1" t="s">
        <v>57</v>
      </c>
      <c r="L163" s="1" t="s">
        <v>62</v>
      </c>
      <c r="M163" s="1">
        <v>25</v>
      </c>
      <c r="R163" s="1" t="s">
        <v>63</v>
      </c>
      <c r="S163" s="1">
        <v>307.27999999999997</v>
      </c>
      <c r="T163" s="1">
        <v>377</v>
      </c>
      <c r="U163" s="1">
        <v>1.82</v>
      </c>
      <c r="V163" s="1">
        <v>9.4</v>
      </c>
      <c r="W163" s="1">
        <v>2.5000000000000001E-2</v>
      </c>
      <c r="X163" s="1">
        <f t="shared" si="22"/>
        <v>25</v>
      </c>
      <c r="Y163" s="1">
        <v>0.2</v>
      </c>
      <c r="AA163" s="1">
        <v>10.2272727272727</v>
      </c>
      <c r="AH163" s="1">
        <v>0.98333333333333339</v>
      </c>
      <c r="AJ163" s="1">
        <f t="shared" si="27"/>
        <v>1.6666666666666607E-2</v>
      </c>
      <c r="AK163" s="1">
        <f t="shared" si="26"/>
        <v>-4.094344562222104</v>
      </c>
      <c r="AM163">
        <v>21</v>
      </c>
      <c r="AN163">
        <f>IF(ISNUMBER(AJ163),IF(AJ163&gt;=0.05,1,0),"")</f>
        <v>0</v>
      </c>
      <c r="AO163">
        <f>IF(ISNUMBER(AJ163),IF(AJ163&lt;0.005,1,0),"")</f>
        <v>0</v>
      </c>
      <c r="AQ163" s="34"/>
      <c r="AR163" s="35"/>
      <c r="AS163" s="36"/>
    </row>
    <row r="164" spans="1:45" ht="57" x14ac:dyDescent="0.45">
      <c r="A164" s="1" t="s">
        <v>61</v>
      </c>
      <c r="B164" s="1" t="s">
        <v>56</v>
      </c>
      <c r="C164" s="1">
        <v>107</v>
      </c>
      <c r="D164" s="1">
        <v>253.28</v>
      </c>
      <c r="E164" s="1">
        <v>0.9</v>
      </c>
      <c r="F164" s="1">
        <v>1.5549999999999999</v>
      </c>
      <c r="G164" s="1">
        <v>1.9550000000000001</v>
      </c>
      <c r="H164" s="1">
        <v>0.88</v>
      </c>
      <c r="I164" s="1">
        <v>0.95</v>
      </c>
      <c r="J164" s="1">
        <v>1.59</v>
      </c>
      <c r="K164" s="1" t="s">
        <v>57</v>
      </c>
      <c r="L164" s="1" t="s">
        <v>62</v>
      </c>
      <c r="M164" s="1">
        <v>25</v>
      </c>
      <c r="R164" s="1" t="s">
        <v>63</v>
      </c>
      <c r="S164" s="1">
        <v>307.27999999999997</v>
      </c>
      <c r="T164" s="1">
        <v>377</v>
      </c>
      <c r="U164" s="1">
        <v>1.82</v>
      </c>
      <c r="V164" s="1">
        <v>9.4</v>
      </c>
      <c r="W164" s="1">
        <v>2.5000000000000001E-2</v>
      </c>
      <c r="X164" s="1">
        <f t="shared" si="22"/>
        <v>25</v>
      </c>
      <c r="Y164" s="1">
        <v>0.2</v>
      </c>
      <c r="AA164" s="1">
        <v>15.113636363636299</v>
      </c>
      <c r="AH164" s="1">
        <v>0.99761904761904741</v>
      </c>
      <c r="AJ164" s="1">
        <f t="shared" si="27"/>
        <v>2.3809523809525945E-3</v>
      </c>
      <c r="AK164" s="1">
        <f t="shared" si="26"/>
        <v>-6.0402547112773242</v>
      </c>
      <c r="AM164">
        <v>21</v>
      </c>
      <c r="AN164">
        <f>IF(ISNUMBER(AJ164),IF(AJ164&gt;=0.05,1,0),"")</f>
        <v>0</v>
      </c>
      <c r="AO164">
        <f>IF(ISNUMBER(AJ164),IF(AJ164&lt;0.005,1,0),"")</f>
        <v>1</v>
      </c>
      <c r="AQ164" s="34"/>
      <c r="AR164" s="35"/>
      <c r="AS164" s="36"/>
    </row>
    <row r="165" spans="1:45" ht="57" x14ac:dyDescent="0.45">
      <c r="A165" s="1" t="s">
        <v>61</v>
      </c>
      <c r="B165" s="1" t="s">
        <v>56</v>
      </c>
      <c r="C165" s="1">
        <v>107</v>
      </c>
      <c r="D165" s="1">
        <v>253.28</v>
      </c>
      <c r="E165" s="1">
        <v>0.9</v>
      </c>
      <c r="F165" s="1">
        <v>1.5549999999999999</v>
      </c>
      <c r="G165" s="1">
        <v>1.9550000000000001</v>
      </c>
      <c r="H165" s="1">
        <v>0.88</v>
      </c>
      <c r="I165" s="1">
        <v>0.95</v>
      </c>
      <c r="J165" s="1">
        <v>1.59</v>
      </c>
      <c r="K165" s="1" t="s">
        <v>57</v>
      </c>
      <c r="L165" s="1" t="s">
        <v>62</v>
      </c>
      <c r="M165" s="1">
        <v>25</v>
      </c>
      <c r="R165" s="1" t="s">
        <v>63</v>
      </c>
      <c r="S165" s="1">
        <v>307.27999999999997</v>
      </c>
      <c r="T165" s="1">
        <v>377</v>
      </c>
      <c r="U165" s="1">
        <v>1.82</v>
      </c>
      <c r="V165" s="1">
        <v>9.4</v>
      </c>
      <c r="W165" s="1">
        <v>2.5000000000000001E-2</v>
      </c>
      <c r="X165" s="1">
        <f t="shared" si="22"/>
        <v>25</v>
      </c>
      <c r="Y165" s="1">
        <v>0.2</v>
      </c>
      <c r="AA165" s="1">
        <v>20.170454545454501</v>
      </c>
      <c r="AH165" s="1">
        <v>0.99997999999999998</v>
      </c>
      <c r="AJ165" s="1">
        <f t="shared" si="27"/>
        <v>2.0000000000020002E-5</v>
      </c>
      <c r="AK165" s="1">
        <f t="shared" si="26"/>
        <v>-10.819778284409283</v>
      </c>
      <c r="AM165">
        <v>21</v>
      </c>
      <c r="AN165">
        <f>IF(ISNUMBER(AJ165),IF(AJ165&gt;=0.05,1,0),"")</f>
        <v>0</v>
      </c>
      <c r="AO165">
        <f>IF(ISNUMBER(AJ165),IF(AJ165&lt;0.005,1,0),"")</f>
        <v>1</v>
      </c>
      <c r="AQ165" s="34"/>
      <c r="AR165" s="35"/>
      <c r="AS165" s="36"/>
    </row>
    <row r="166" spans="1:45" ht="57" x14ac:dyDescent="0.45">
      <c r="A166" s="1" t="s">
        <v>61</v>
      </c>
      <c r="B166" s="1" t="s">
        <v>56</v>
      </c>
      <c r="C166" s="1">
        <v>107</v>
      </c>
      <c r="D166" s="1">
        <v>253.28</v>
      </c>
      <c r="E166" s="1">
        <v>0.9</v>
      </c>
      <c r="F166" s="1">
        <v>1.5549999999999999</v>
      </c>
      <c r="G166" s="1">
        <v>1.9550000000000001</v>
      </c>
      <c r="H166" s="1">
        <v>0.88</v>
      </c>
      <c r="I166" s="1">
        <v>0.95</v>
      </c>
      <c r="J166" s="1">
        <v>1.59</v>
      </c>
      <c r="K166" s="1" t="s">
        <v>57</v>
      </c>
      <c r="L166" s="1" t="s">
        <v>62</v>
      </c>
      <c r="M166" s="1">
        <v>25</v>
      </c>
      <c r="R166" s="1" t="s">
        <v>63</v>
      </c>
      <c r="S166" s="1">
        <v>307.27999999999997</v>
      </c>
      <c r="T166" s="1">
        <v>377</v>
      </c>
      <c r="U166" s="1">
        <v>1.82</v>
      </c>
      <c r="V166" s="1">
        <v>9.4</v>
      </c>
      <c r="W166" s="1">
        <v>2.5000000000000001E-2</v>
      </c>
      <c r="X166" s="1">
        <f t="shared" si="22"/>
        <v>25</v>
      </c>
      <c r="Y166" s="1">
        <v>0.2</v>
      </c>
      <c r="AA166" s="1">
        <v>30.397727272727199</v>
      </c>
      <c r="AH166" s="1">
        <v>0.99999000000000005</v>
      </c>
      <c r="AJ166" s="1">
        <f t="shared" si="27"/>
        <v>9.9999999999544897E-6</v>
      </c>
      <c r="AK166" s="1">
        <f t="shared" si="26"/>
        <v>-11.51292546497478</v>
      </c>
      <c r="AM166">
        <v>21</v>
      </c>
      <c r="AN166">
        <f>IF(ISNUMBER(AJ166),IF(AJ166&gt;=0.05,1,0),"")</f>
        <v>0</v>
      </c>
      <c r="AO166">
        <f>IF(ISNUMBER(AJ166),IF(AJ166&lt;0.005,1,0),"")</f>
        <v>1</v>
      </c>
      <c r="AQ166" s="34"/>
      <c r="AR166" s="35"/>
      <c r="AS166" s="36"/>
    </row>
    <row r="167" spans="1:45" ht="42.75" x14ac:dyDescent="0.45">
      <c r="A167" s="1" t="s">
        <v>64</v>
      </c>
      <c r="B167" s="1" t="s">
        <v>65</v>
      </c>
      <c r="C167" s="1">
        <v>106</v>
      </c>
      <c r="D167" s="1">
        <v>250.28</v>
      </c>
      <c r="E167" s="1">
        <v>-0.1</v>
      </c>
      <c r="F167" s="1">
        <v>1.57</v>
      </c>
      <c r="G167" s="1">
        <v>1.93</v>
      </c>
      <c r="H167" s="1">
        <v>0.87</v>
      </c>
      <c r="I167" s="1">
        <v>0.86</v>
      </c>
      <c r="J167" s="1">
        <v>1.49</v>
      </c>
      <c r="K167" s="1" t="s">
        <v>50</v>
      </c>
      <c r="R167" s="1" t="s">
        <v>63</v>
      </c>
      <c r="S167" s="1">
        <v>307.27999999999997</v>
      </c>
      <c r="T167" s="1">
        <v>377</v>
      </c>
      <c r="U167" s="1">
        <v>1.82</v>
      </c>
      <c r="V167" s="1">
        <v>9.4</v>
      </c>
      <c r="W167" s="1">
        <v>0</v>
      </c>
      <c r="X167" s="1">
        <f t="shared" si="22"/>
        <v>0</v>
      </c>
      <c r="Y167" s="1">
        <v>3.3000000000000002E-2</v>
      </c>
      <c r="Z167" s="1">
        <v>8.0000000000000002E-3</v>
      </c>
      <c r="AA167" s="1">
        <v>1.025128</v>
      </c>
      <c r="AB167" s="1">
        <v>6.8</v>
      </c>
      <c r="AC167" s="1">
        <v>25</v>
      </c>
      <c r="AD167" s="1" t="s">
        <v>66</v>
      </c>
      <c r="AE167" s="1">
        <v>10</v>
      </c>
      <c r="AH167" s="1">
        <v>3.5740319E-2</v>
      </c>
      <c r="AI167" s="1">
        <f>-AK172/AA172</f>
        <v>3.0546273814636266E-3</v>
      </c>
      <c r="AJ167" s="1">
        <f t="shared" ref="AJ167" si="29">1-AH167</f>
        <v>0.96425968100000004</v>
      </c>
      <c r="AK167" s="1">
        <f t="shared" si="26"/>
        <v>-3.6394642016794855E-2</v>
      </c>
      <c r="AL167" s="1">
        <v>3.1784070433991301E-3</v>
      </c>
      <c r="AM167">
        <v>22</v>
      </c>
      <c r="AN167">
        <f>IF(ISNUMBER(AJ167),IF(AJ167&gt;=0.05,1,0),"")</f>
        <v>1</v>
      </c>
      <c r="AO167">
        <f>IF(ISNUMBER(AJ167),IF(AJ167&lt;0.005,1,0),"")</f>
        <v>0</v>
      </c>
      <c r="AP167">
        <f>IFERROR(MATCH(0,AN167:AN172,0)-1,6)</f>
        <v>6</v>
      </c>
      <c r="AQ167" s="34">
        <f>IF(AP167&lt;3,"n&lt;3",IFERROR(-SLOPE(AK167:INDEX(AK167:AK172,AP167),AA167:INDEX(AA167:AA172,AP167)),"no fit"))</f>
        <v>0</v>
      </c>
      <c r="AR167" s="35" t="str">
        <f>IF(AP167&lt;3,"",IFERROR(RSQ(AK167:INDEX(AK167:AK172,AP167),AA167:INDEX(AA167:AA172,AP167)),"flat"))</f>
        <v>flat</v>
      </c>
      <c r="AS167" s="36">
        <f>IFERROR(AQ167/AI167,"")</f>
        <v>0</v>
      </c>
    </row>
    <row r="168" spans="1:45" ht="42.75" x14ac:dyDescent="0.45">
      <c r="A168" s="1" t="s">
        <v>64</v>
      </c>
      <c r="B168" s="1" t="s">
        <v>65</v>
      </c>
      <c r="C168" s="1">
        <v>106</v>
      </c>
      <c r="D168" s="1">
        <v>250.28</v>
      </c>
      <c r="E168" s="1">
        <v>-0.1</v>
      </c>
      <c r="F168" s="1">
        <v>1.57</v>
      </c>
      <c r="G168" s="1">
        <v>1.93</v>
      </c>
      <c r="H168" s="1">
        <v>0.87</v>
      </c>
      <c r="I168" s="1">
        <v>0.86</v>
      </c>
      <c r="J168" s="1">
        <v>1.49</v>
      </c>
      <c r="K168" s="1" t="s">
        <v>50</v>
      </c>
      <c r="R168" s="1" t="s">
        <v>63</v>
      </c>
      <c r="S168" s="1">
        <v>307.27999999999997</v>
      </c>
      <c r="T168" s="1">
        <v>377</v>
      </c>
      <c r="U168" s="1">
        <v>1.82</v>
      </c>
      <c r="V168" s="1">
        <v>9.4</v>
      </c>
      <c r="W168" s="1">
        <v>0</v>
      </c>
      <c r="X168" s="1">
        <f t="shared" si="22"/>
        <v>0</v>
      </c>
      <c r="Y168" s="1">
        <v>3.3000000000000002E-2</v>
      </c>
      <c r="Z168" s="1">
        <v>8.0000000000000002E-3</v>
      </c>
      <c r="AA168" s="1">
        <v>1.025128</v>
      </c>
      <c r="AB168" s="1">
        <v>6.8</v>
      </c>
      <c r="AC168" s="1">
        <v>25</v>
      </c>
      <c r="AD168" s="1" t="s">
        <v>66</v>
      </c>
      <c r="AE168" s="1">
        <v>10</v>
      </c>
      <c r="AH168" s="1">
        <v>3.5740319E-2</v>
      </c>
      <c r="AJ168" s="1">
        <f t="shared" si="27"/>
        <v>0.96425968100000004</v>
      </c>
      <c r="AK168" s="1">
        <f t="shared" si="26"/>
        <v>-3.6394642016794855E-2</v>
      </c>
      <c r="AM168">
        <v>22</v>
      </c>
      <c r="AN168">
        <f>IF(ISNUMBER(AJ168),IF(AJ168&gt;=0.05,1,0),"")</f>
        <v>1</v>
      </c>
      <c r="AO168">
        <f>IF(ISNUMBER(AJ168),IF(AJ168&lt;0.005,1,0),"")</f>
        <v>0</v>
      </c>
      <c r="AQ168" s="34"/>
      <c r="AR168" s="35"/>
      <c r="AS168" s="36"/>
    </row>
    <row r="169" spans="1:45" ht="42.75" x14ac:dyDescent="0.45">
      <c r="A169" s="1" t="s">
        <v>64</v>
      </c>
      <c r="B169" s="1" t="s">
        <v>65</v>
      </c>
      <c r="C169" s="1">
        <v>106</v>
      </c>
      <c r="D169" s="1">
        <v>250.28</v>
      </c>
      <c r="E169" s="1">
        <v>-0.1</v>
      </c>
      <c r="F169" s="1">
        <v>1.57</v>
      </c>
      <c r="G169" s="1">
        <v>1.93</v>
      </c>
      <c r="H169" s="1">
        <v>0.87</v>
      </c>
      <c r="I169" s="1">
        <v>0.86</v>
      </c>
      <c r="J169" s="1">
        <v>1.49</v>
      </c>
      <c r="K169" s="1" t="s">
        <v>50</v>
      </c>
      <c r="R169" s="1" t="s">
        <v>63</v>
      </c>
      <c r="S169" s="1">
        <v>307.27999999999997</v>
      </c>
      <c r="T169" s="1">
        <v>377</v>
      </c>
      <c r="U169" s="1">
        <v>1.82</v>
      </c>
      <c r="V169" s="1">
        <v>9.4</v>
      </c>
      <c r="W169" s="1">
        <v>0</v>
      </c>
      <c r="X169" s="1">
        <f t="shared" si="22"/>
        <v>0</v>
      </c>
      <c r="Y169" s="1">
        <v>3.3000000000000002E-2</v>
      </c>
      <c r="Z169" s="1">
        <v>8.0000000000000002E-3</v>
      </c>
      <c r="AA169" s="1">
        <v>3.032683</v>
      </c>
      <c r="AB169" s="1">
        <v>6.8</v>
      </c>
      <c r="AC169" s="1">
        <v>25</v>
      </c>
      <c r="AD169" s="1" t="s">
        <v>66</v>
      </c>
      <c r="AE169" s="1">
        <v>10</v>
      </c>
      <c r="AH169" s="1">
        <v>3.5740319E-2</v>
      </c>
      <c r="AJ169" s="1">
        <f t="shared" si="27"/>
        <v>0.96425968100000004</v>
      </c>
      <c r="AK169" s="1">
        <f t="shared" si="26"/>
        <v>-3.6394642016794855E-2</v>
      </c>
      <c r="AM169">
        <v>22</v>
      </c>
      <c r="AN169">
        <f>IF(ISNUMBER(AJ169),IF(AJ169&gt;=0.05,1,0),"")</f>
        <v>1</v>
      </c>
      <c r="AO169">
        <f>IF(ISNUMBER(AJ169),IF(AJ169&lt;0.005,1,0),"")</f>
        <v>0</v>
      </c>
      <c r="AQ169" s="34"/>
      <c r="AR169" s="35"/>
      <c r="AS169" s="36"/>
    </row>
    <row r="170" spans="1:45" ht="42.75" x14ac:dyDescent="0.45">
      <c r="A170" s="1" t="s">
        <v>64</v>
      </c>
      <c r="B170" s="1" t="s">
        <v>65</v>
      </c>
      <c r="C170" s="1">
        <v>106</v>
      </c>
      <c r="D170" s="1">
        <v>250.28</v>
      </c>
      <c r="E170" s="1">
        <v>-0.1</v>
      </c>
      <c r="F170" s="1">
        <v>1.57</v>
      </c>
      <c r="G170" s="1">
        <v>1.93</v>
      </c>
      <c r="H170" s="1">
        <v>0.87</v>
      </c>
      <c r="I170" s="1">
        <v>0.86</v>
      </c>
      <c r="J170" s="1">
        <v>1.49</v>
      </c>
      <c r="K170" s="1" t="s">
        <v>50</v>
      </c>
      <c r="R170" s="1" t="s">
        <v>63</v>
      </c>
      <c r="S170" s="1">
        <v>307.27999999999997</v>
      </c>
      <c r="T170" s="1">
        <v>377</v>
      </c>
      <c r="U170" s="1">
        <v>1.82</v>
      </c>
      <c r="V170" s="1">
        <v>9.4</v>
      </c>
      <c r="W170" s="1">
        <v>0</v>
      </c>
      <c r="X170" s="1">
        <f t="shared" si="22"/>
        <v>0</v>
      </c>
      <c r="Y170" s="1">
        <v>3.3000000000000002E-2</v>
      </c>
      <c r="Z170" s="1">
        <v>8.0000000000000002E-3</v>
      </c>
      <c r="AA170" s="1">
        <v>5.0098205</v>
      </c>
      <c r="AB170" s="1">
        <v>6.8</v>
      </c>
      <c r="AC170" s="1">
        <v>25</v>
      </c>
      <c r="AD170" s="1" t="s">
        <v>66</v>
      </c>
      <c r="AE170" s="1">
        <v>10</v>
      </c>
      <c r="AH170" s="1">
        <v>3.5740319E-2</v>
      </c>
      <c r="AJ170" s="1">
        <f t="shared" si="27"/>
        <v>0.96425968100000004</v>
      </c>
      <c r="AK170" s="1">
        <f t="shared" si="26"/>
        <v>-3.6394642016794855E-2</v>
      </c>
      <c r="AM170">
        <v>22</v>
      </c>
      <c r="AN170">
        <f>IF(ISNUMBER(AJ170),IF(AJ170&gt;=0.05,1,0),"")</f>
        <v>1</v>
      </c>
      <c r="AO170">
        <f>IF(ISNUMBER(AJ170),IF(AJ170&lt;0.005,1,0),"")</f>
        <v>0</v>
      </c>
      <c r="AQ170" s="34"/>
      <c r="AR170" s="35"/>
      <c r="AS170" s="36"/>
    </row>
    <row r="171" spans="1:45" ht="42.75" x14ac:dyDescent="0.45">
      <c r="A171" s="1" t="s">
        <v>64</v>
      </c>
      <c r="B171" s="1" t="s">
        <v>65</v>
      </c>
      <c r="C171" s="1">
        <v>106</v>
      </c>
      <c r="D171" s="1">
        <v>250.28</v>
      </c>
      <c r="E171" s="1">
        <v>-0.1</v>
      </c>
      <c r="F171" s="1">
        <v>1.57</v>
      </c>
      <c r="G171" s="1">
        <v>1.93</v>
      </c>
      <c r="H171" s="1">
        <v>0.87</v>
      </c>
      <c r="I171" s="1">
        <v>0.86</v>
      </c>
      <c r="J171" s="1">
        <v>1.49</v>
      </c>
      <c r="K171" s="1" t="s">
        <v>50</v>
      </c>
      <c r="R171" s="1" t="s">
        <v>63</v>
      </c>
      <c r="S171" s="1">
        <v>307.27999999999997</v>
      </c>
      <c r="T171" s="1">
        <v>377</v>
      </c>
      <c r="U171" s="1">
        <v>1.82</v>
      </c>
      <c r="V171" s="1">
        <v>9.4</v>
      </c>
      <c r="W171" s="1">
        <v>0</v>
      </c>
      <c r="X171" s="1">
        <f t="shared" si="22"/>
        <v>0</v>
      </c>
      <c r="Y171" s="1">
        <v>3.3000000000000002E-2</v>
      </c>
      <c r="Z171" s="1">
        <v>8.0000000000000002E-3</v>
      </c>
      <c r="AA171" s="1">
        <v>7.960318</v>
      </c>
      <c r="AB171" s="1">
        <v>6.8</v>
      </c>
      <c r="AC171" s="1">
        <v>25</v>
      </c>
      <c r="AD171" s="1" t="s">
        <v>66</v>
      </c>
      <c r="AE171" s="1">
        <v>10</v>
      </c>
      <c r="AH171" s="1">
        <v>3.5740319E-2</v>
      </c>
      <c r="AJ171" s="1">
        <f t="shared" si="27"/>
        <v>0.96425968100000004</v>
      </c>
      <c r="AK171" s="1">
        <f t="shared" si="26"/>
        <v>-3.6394642016794855E-2</v>
      </c>
      <c r="AM171">
        <v>22</v>
      </c>
      <c r="AN171">
        <f>IF(ISNUMBER(AJ171),IF(AJ171&gt;=0.05,1,0),"")</f>
        <v>1</v>
      </c>
      <c r="AO171">
        <f>IF(ISNUMBER(AJ171),IF(AJ171&lt;0.005,1,0),"")</f>
        <v>0</v>
      </c>
      <c r="AQ171" s="34"/>
      <c r="AR171" s="35"/>
      <c r="AS171" s="36"/>
    </row>
    <row r="172" spans="1:45" ht="42.75" x14ac:dyDescent="0.45">
      <c r="A172" s="1" t="s">
        <v>64</v>
      </c>
      <c r="B172" s="1" t="s">
        <v>65</v>
      </c>
      <c r="C172" s="1">
        <v>106</v>
      </c>
      <c r="D172" s="1">
        <v>250.28</v>
      </c>
      <c r="E172" s="1">
        <v>-0.1</v>
      </c>
      <c r="F172" s="1">
        <v>1.57</v>
      </c>
      <c r="G172" s="1">
        <v>1.93</v>
      </c>
      <c r="H172" s="1">
        <v>0.87</v>
      </c>
      <c r="I172" s="1">
        <v>0.86</v>
      </c>
      <c r="J172" s="1">
        <v>1.49</v>
      </c>
      <c r="K172" s="1" t="s">
        <v>50</v>
      </c>
      <c r="R172" s="1" t="s">
        <v>63</v>
      </c>
      <c r="S172" s="1">
        <v>307.27999999999997</v>
      </c>
      <c r="T172" s="1">
        <v>377</v>
      </c>
      <c r="U172" s="1">
        <v>1.82</v>
      </c>
      <c r="V172" s="1">
        <v>9.4</v>
      </c>
      <c r="W172" s="1">
        <v>0</v>
      </c>
      <c r="X172" s="1">
        <f t="shared" si="22"/>
        <v>0</v>
      </c>
      <c r="Y172" s="1">
        <v>3.3000000000000002E-2</v>
      </c>
      <c r="Z172" s="1">
        <v>8.0000000000000002E-3</v>
      </c>
      <c r="AA172" s="1">
        <v>11.914593</v>
      </c>
      <c r="AB172" s="1">
        <v>6.8</v>
      </c>
      <c r="AC172" s="1">
        <v>25</v>
      </c>
      <c r="AD172" s="1" t="s">
        <v>66</v>
      </c>
      <c r="AE172" s="1">
        <v>10</v>
      </c>
      <c r="AH172" s="1">
        <v>3.5740319E-2</v>
      </c>
      <c r="AJ172" s="1">
        <f t="shared" si="27"/>
        <v>0.96425968100000004</v>
      </c>
      <c r="AK172" s="1">
        <f t="shared" si="26"/>
        <v>-3.6394642016794855E-2</v>
      </c>
      <c r="AM172">
        <v>22</v>
      </c>
      <c r="AN172">
        <f>IF(ISNUMBER(AJ172),IF(AJ172&gt;=0.05,1,0),"")</f>
        <v>1</v>
      </c>
      <c r="AO172">
        <f>IF(ISNUMBER(AJ172),IF(AJ172&lt;0.005,1,0),"")</f>
        <v>0</v>
      </c>
      <c r="AQ172" s="34"/>
      <c r="AR172" s="35"/>
      <c r="AS172" s="36"/>
    </row>
    <row r="173" spans="1:45" ht="42.75" x14ac:dyDescent="0.45">
      <c r="A173" s="1" t="s">
        <v>64</v>
      </c>
      <c r="B173" s="1" t="s">
        <v>65</v>
      </c>
      <c r="C173" s="1">
        <v>106</v>
      </c>
      <c r="D173" s="1">
        <v>250.28</v>
      </c>
      <c r="E173" s="1">
        <v>-0.1</v>
      </c>
      <c r="F173" s="1">
        <v>1.57</v>
      </c>
      <c r="G173" s="1">
        <v>1.93</v>
      </c>
      <c r="H173" s="1">
        <v>0.87</v>
      </c>
      <c r="I173" s="1">
        <v>0.86</v>
      </c>
      <c r="J173" s="1">
        <v>1.49</v>
      </c>
      <c r="K173" s="1" t="s">
        <v>49</v>
      </c>
      <c r="M173" s="1">
        <v>0.28000000000000003</v>
      </c>
      <c r="N173" s="1">
        <v>22.87</v>
      </c>
      <c r="P173">
        <v>7.6</v>
      </c>
      <c r="Q173" s="1">
        <v>35.5</v>
      </c>
      <c r="R173" s="1" t="s">
        <v>63</v>
      </c>
      <c r="S173" s="1">
        <v>307.27999999999997</v>
      </c>
      <c r="T173" s="1">
        <v>377</v>
      </c>
      <c r="U173" s="1">
        <v>1.82</v>
      </c>
      <c r="V173" s="1">
        <v>9.4</v>
      </c>
      <c r="W173" s="1">
        <v>0.1</v>
      </c>
      <c r="X173" s="1">
        <f t="shared" si="22"/>
        <v>100</v>
      </c>
      <c r="Y173" s="1">
        <v>3.3000000000000002E-2</v>
      </c>
      <c r="Z173" s="1">
        <v>8.0000000000000002E-3</v>
      </c>
      <c r="AA173" s="1">
        <v>0</v>
      </c>
      <c r="AB173" s="1">
        <v>6.8</v>
      </c>
      <c r="AC173" s="1">
        <v>25</v>
      </c>
      <c r="AD173" s="1" t="s">
        <v>66</v>
      </c>
      <c r="AE173" s="1">
        <v>10</v>
      </c>
      <c r="AH173" s="1">
        <v>0</v>
      </c>
      <c r="AI173" s="1">
        <f>-AK178/AA178</f>
        <v>3.0624456881165091E-3</v>
      </c>
      <c r="AJ173" s="1">
        <f t="shared" ref="AJ173" si="30">1-AH173</f>
        <v>1</v>
      </c>
      <c r="AK173" s="1">
        <f t="shared" si="26"/>
        <v>0</v>
      </c>
      <c r="AL173" s="1">
        <v>0.123707076453274</v>
      </c>
      <c r="AM173">
        <v>23</v>
      </c>
      <c r="AN173">
        <f>IF(ISNUMBER(AJ173),IF(AJ173&gt;=0.05,1,0),"")</f>
        <v>1</v>
      </c>
      <c r="AO173">
        <f>IF(ISNUMBER(AJ173),IF(AJ173&lt;0.005,1,0),"")</f>
        <v>0</v>
      </c>
      <c r="AP173">
        <f>IFERROR(MATCH(0,AN173:AN178,0)-1,6)</f>
        <v>6</v>
      </c>
      <c r="AQ173" s="34">
        <f>IF(AP173&lt;3,"n&lt;3",IFERROR(-SLOPE(AK173:INDEX(AK173:AK178,AP173),AA173:INDEX(AA173:AA178,AP173)),"no fit"))</f>
        <v>1.729507338744657E-3</v>
      </c>
      <c r="AR173" s="35">
        <f>IF(AP173&lt;3,"",IFERROR(RSQ(AK173:INDEX(AK173:AK178,AP173),AA173:INDEX(AA173:AA178,AP173)),"flat"))</f>
        <v>0.27391894924957316</v>
      </c>
      <c r="AS173" s="36">
        <f>IFERROR(AQ173/AI173,"")</f>
        <v>0.5647471057056862</v>
      </c>
    </row>
    <row r="174" spans="1:45" ht="42.75" x14ac:dyDescent="0.45">
      <c r="A174" s="1" t="s">
        <v>64</v>
      </c>
      <c r="B174" s="1" t="s">
        <v>65</v>
      </c>
      <c r="C174" s="1">
        <v>106</v>
      </c>
      <c r="D174" s="1">
        <v>250.28</v>
      </c>
      <c r="E174" s="1">
        <v>-0.1</v>
      </c>
      <c r="F174" s="1">
        <v>1.57</v>
      </c>
      <c r="G174" s="1">
        <v>1.93</v>
      </c>
      <c r="H174" s="1">
        <v>0.87</v>
      </c>
      <c r="I174" s="1">
        <v>0.86</v>
      </c>
      <c r="J174" s="1">
        <v>1.49</v>
      </c>
      <c r="K174" s="1" t="s">
        <v>49</v>
      </c>
      <c r="M174" s="1">
        <v>0.28000000000000003</v>
      </c>
      <c r="N174" s="1">
        <v>22.87</v>
      </c>
      <c r="P174">
        <v>7.6</v>
      </c>
      <c r="Q174" s="1">
        <v>35.5</v>
      </c>
      <c r="R174" s="1" t="s">
        <v>63</v>
      </c>
      <c r="S174" s="1">
        <v>307.27999999999997</v>
      </c>
      <c r="T174" s="1">
        <v>377</v>
      </c>
      <c r="U174" s="1">
        <v>1.82</v>
      </c>
      <c r="V174" s="1">
        <v>9.4</v>
      </c>
      <c r="W174" s="1">
        <v>0.1</v>
      </c>
      <c r="X174" s="1">
        <f t="shared" si="22"/>
        <v>100</v>
      </c>
      <c r="Y174" s="1">
        <v>3.3000000000000002E-2</v>
      </c>
      <c r="Z174" s="1">
        <v>8.0000000000000002E-3</v>
      </c>
      <c r="AA174" s="1">
        <v>0.96429299999999996</v>
      </c>
      <c r="AB174" s="1">
        <v>6.8</v>
      </c>
      <c r="AC174" s="1">
        <v>25</v>
      </c>
      <c r="AD174" s="1" t="s">
        <v>66</v>
      </c>
      <c r="AE174" s="1">
        <v>10</v>
      </c>
      <c r="AH174" s="1">
        <v>3.5740319E-2</v>
      </c>
      <c r="AJ174" s="1">
        <f t="shared" si="27"/>
        <v>0.96425968100000004</v>
      </c>
      <c r="AK174" s="1">
        <f t="shared" si="26"/>
        <v>-3.6394642016794855E-2</v>
      </c>
      <c r="AM174">
        <v>23</v>
      </c>
      <c r="AN174">
        <f>IF(ISNUMBER(AJ174),IF(AJ174&gt;=0.05,1,0),"")</f>
        <v>1</v>
      </c>
      <c r="AO174">
        <f>IF(ISNUMBER(AJ174),IF(AJ174&lt;0.005,1,0),"")</f>
        <v>0</v>
      </c>
      <c r="AQ174" s="34"/>
      <c r="AR174" s="35"/>
      <c r="AS174" s="36"/>
    </row>
    <row r="175" spans="1:45" ht="42.75" x14ac:dyDescent="0.45">
      <c r="A175" s="1" t="s">
        <v>64</v>
      </c>
      <c r="B175" s="1" t="s">
        <v>65</v>
      </c>
      <c r="C175" s="1">
        <v>106</v>
      </c>
      <c r="D175" s="1">
        <v>250.28</v>
      </c>
      <c r="E175" s="1">
        <v>-0.1</v>
      </c>
      <c r="F175" s="1">
        <v>1.57</v>
      </c>
      <c r="G175" s="1">
        <v>1.93</v>
      </c>
      <c r="H175" s="1">
        <v>0.87</v>
      </c>
      <c r="I175" s="1">
        <v>0.86</v>
      </c>
      <c r="J175" s="1">
        <v>1.49</v>
      </c>
      <c r="K175" s="1" t="s">
        <v>49</v>
      </c>
      <c r="M175" s="1">
        <v>0.28000000000000003</v>
      </c>
      <c r="N175" s="1">
        <v>22.87</v>
      </c>
      <c r="P175">
        <v>7.6</v>
      </c>
      <c r="Q175" s="1">
        <v>35.5</v>
      </c>
      <c r="R175" s="1" t="s">
        <v>63</v>
      </c>
      <c r="S175" s="1">
        <v>307.27999999999997</v>
      </c>
      <c r="T175" s="1">
        <v>377</v>
      </c>
      <c r="U175" s="1">
        <v>1.82</v>
      </c>
      <c r="V175" s="1">
        <v>9.4</v>
      </c>
      <c r="W175" s="1">
        <v>0.1</v>
      </c>
      <c r="X175" s="1">
        <f t="shared" si="22"/>
        <v>100</v>
      </c>
      <c r="Y175" s="1">
        <v>3.3000000000000002E-2</v>
      </c>
      <c r="Z175" s="1">
        <v>8.0000000000000002E-3</v>
      </c>
      <c r="AA175" s="1">
        <v>3.032683</v>
      </c>
      <c r="AB175" s="1">
        <v>6.8</v>
      </c>
      <c r="AC175" s="1">
        <v>25</v>
      </c>
      <c r="AD175" s="1" t="s">
        <v>66</v>
      </c>
      <c r="AE175" s="1">
        <v>10</v>
      </c>
      <c r="AH175" s="1">
        <v>3.5740319E-2</v>
      </c>
      <c r="AJ175" s="1">
        <f t="shared" si="27"/>
        <v>0.96425968100000004</v>
      </c>
      <c r="AK175" s="1">
        <f t="shared" si="26"/>
        <v>-3.6394642016794855E-2</v>
      </c>
      <c r="AM175">
        <v>23</v>
      </c>
      <c r="AN175">
        <f>IF(ISNUMBER(AJ175),IF(AJ175&gt;=0.05,1,0),"")</f>
        <v>1</v>
      </c>
      <c r="AO175">
        <f>IF(ISNUMBER(AJ175),IF(AJ175&lt;0.005,1,0),"")</f>
        <v>0</v>
      </c>
      <c r="AQ175" s="34"/>
      <c r="AR175" s="35"/>
      <c r="AS175" s="36"/>
    </row>
    <row r="176" spans="1:45" ht="42.75" x14ac:dyDescent="0.45">
      <c r="A176" s="1" t="s">
        <v>64</v>
      </c>
      <c r="B176" s="1" t="s">
        <v>65</v>
      </c>
      <c r="C176" s="1">
        <v>106</v>
      </c>
      <c r="D176" s="1">
        <v>250.28</v>
      </c>
      <c r="E176" s="1">
        <v>-0.1</v>
      </c>
      <c r="F176" s="1">
        <v>1.57</v>
      </c>
      <c r="G176" s="1">
        <v>1.93</v>
      </c>
      <c r="H176" s="1">
        <v>0.87</v>
      </c>
      <c r="I176" s="1">
        <v>0.86</v>
      </c>
      <c r="J176" s="1">
        <v>1.49</v>
      </c>
      <c r="K176" s="1" t="s">
        <v>49</v>
      </c>
      <c r="M176" s="1">
        <v>0.28000000000000003</v>
      </c>
      <c r="N176" s="1">
        <v>22.87</v>
      </c>
      <c r="P176">
        <v>7.6</v>
      </c>
      <c r="Q176" s="1">
        <v>35.5</v>
      </c>
      <c r="R176" s="1" t="s">
        <v>63</v>
      </c>
      <c r="S176" s="1">
        <v>307.27999999999997</v>
      </c>
      <c r="T176" s="1">
        <v>377</v>
      </c>
      <c r="U176" s="1">
        <v>1.82</v>
      </c>
      <c r="V176" s="1">
        <v>9.4</v>
      </c>
      <c r="W176" s="1">
        <v>0.1</v>
      </c>
      <c r="X176" s="1">
        <f t="shared" si="22"/>
        <v>100</v>
      </c>
      <c r="Y176" s="1">
        <v>3.3000000000000002E-2</v>
      </c>
      <c r="Z176" s="1">
        <v>8.0000000000000002E-3</v>
      </c>
      <c r="AA176" s="1">
        <v>4.9794029999999996</v>
      </c>
      <c r="AB176" s="1">
        <v>6.8</v>
      </c>
      <c r="AC176" s="1">
        <v>25</v>
      </c>
      <c r="AD176" s="1" t="s">
        <v>66</v>
      </c>
      <c r="AE176" s="1">
        <v>10</v>
      </c>
      <c r="AH176" s="1">
        <v>3.5740319E-2</v>
      </c>
      <c r="AJ176" s="1">
        <f t="shared" si="27"/>
        <v>0.96425968100000004</v>
      </c>
      <c r="AK176" s="1">
        <f t="shared" si="26"/>
        <v>-3.6394642016794855E-2</v>
      </c>
      <c r="AM176">
        <v>23</v>
      </c>
      <c r="AN176">
        <f>IF(ISNUMBER(AJ176),IF(AJ176&gt;=0.05,1,0),"")</f>
        <v>1</v>
      </c>
      <c r="AO176">
        <f>IF(ISNUMBER(AJ176),IF(AJ176&lt;0.005,1,0),"")</f>
        <v>0</v>
      </c>
      <c r="AQ176" s="34"/>
      <c r="AR176" s="35"/>
      <c r="AS176" s="36"/>
    </row>
    <row r="177" spans="1:45" ht="42.75" x14ac:dyDescent="0.45">
      <c r="A177" s="1" t="s">
        <v>64</v>
      </c>
      <c r="B177" s="1" t="s">
        <v>65</v>
      </c>
      <c r="C177" s="1">
        <v>106</v>
      </c>
      <c r="D177" s="1">
        <v>250.28</v>
      </c>
      <c r="E177" s="1">
        <v>-0.1</v>
      </c>
      <c r="F177" s="1">
        <v>1.57</v>
      </c>
      <c r="G177" s="1">
        <v>1.93</v>
      </c>
      <c r="H177" s="1">
        <v>0.87</v>
      </c>
      <c r="I177" s="1">
        <v>0.86</v>
      </c>
      <c r="J177" s="1">
        <v>1.49</v>
      </c>
      <c r="K177" s="1" t="s">
        <v>49</v>
      </c>
      <c r="M177" s="1">
        <v>0.28000000000000003</v>
      </c>
      <c r="N177" s="1">
        <v>22.87</v>
      </c>
      <c r="P177">
        <v>7.6</v>
      </c>
      <c r="Q177" s="1">
        <v>35.5</v>
      </c>
      <c r="R177" s="1" t="s">
        <v>63</v>
      </c>
      <c r="S177" s="1">
        <v>307.27999999999997</v>
      </c>
      <c r="T177" s="1">
        <v>377</v>
      </c>
      <c r="U177" s="1">
        <v>1.82</v>
      </c>
      <c r="V177" s="1">
        <v>9.4</v>
      </c>
      <c r="W177" s="1">
        <v>0.1</v>
      </c>
      <c r="X177" s="1">
        <f t="shared" si="22"/>
        <v>100</v>
      </c>
      <c r="Y177" s="1">
        <v>3.3000000000000002E-2</v>
      </c>
      <c r="Z177" s="1">
        <v>8.0000000000000002E-3</v>
      </c>
      <c r="AA177" s="1">
        <v>7.960318</v>
      </c>
      <c r="AB177" s="1">
        <v>6.8</v>
      </c>
      <c r="AC177" s="1">
        <v>25</v>
      </c>
      <c r="AD177" s="1" t="s">
        <v>66</v>
      </c>
      <c r="AE177" s="1">
        <v>10</v>
      </c>
      <c r="AH177" s="1">
        <v>3.5740319E-2</v>
      </c>
      <c r="AJ177" s="1">
        <f t="shared" si="27"/>
        <v>0.96425968100000004</v>
      </c>
      <c r="AK177" s="1">
        <f t="shared" si="26"/>
        <v>-3.6394642016794855E-2</v>
      </c>
      <c r="AM177">
        <v>23</v>
      </c>
      <c r="AN177">
        <f>IF(ISNUMBER(AJ177),IF(AJ177&gt;=0.05,1,0),"")</f>
        <v>1</v>
      </c>
      <c r="AO177">
        <f>IF(ISNUMBER(AJ177),IF(AJ177&lt;0.005,1,0),"")</f>
        <v>0</v>
      </c>
      <c r="AQ177" s="34"/>
      <c r="AR177" s="35"/>
      <c r="AS177" s="36"/>
    </row>
    <row r="178" spans="1:45" ht="42.75" x14ac:dyDescent="0.45">
      <c r="A178" s="1" t="s">
        <v>64</v>
      </c>
      <c r="B178" s="1" t="s">
        <v>65</v>
      </c>
      <c r="C178" s="1">
        <v>106</v>
      </c>
      <c r="D178" s="1">
        <v>250.28</v>
      </c>
      <c r="E178" s="1">
        <v>-0.1</v>
      </c>
      <c r="F178" s="1">
        <v>1.57</v>
      </c>
      <c r="G178" s="1">
        <v>1.93</v>
      </c>
      <c r="H178" s="1">
        <v>0.87</v>
      </c>
      <c r="I178" s="1">
        <v>0.86</v>
      </c>
      <c r="J178" s="1">
        <v>1.49</v>
      </c>
      <c r="K178" s="1" t="s">
        <v>49</v>
      </c>
      <c r="M178" s="1">
        <v>0.28000000000000003</v>
      </c>
      <c r="N178" s="1">
        <v>22.87</v>
      </c>
      <c r="P178">
        <v>7.6</v>
      </c>
      <c r="Q178" s="1">
        <v>35.5</v>
      </c>
      <c r="R178" s="1" t="s">
        <v>63</v>
      </c>
      <c r="S178" s="1">
        <v>307.27999999999997</v>
      </c>
      <c r="T178" s="1">
        <v>377</v>
      </c>
      <c r="U178" s="1">
        <v>1.82</v>
      </c>
      <c r="V178" s="1">
        <v>9.4</v>
      </c>
      <c r="W178" s="1">
        <v>0.1</v>
      </c>
      <c r="X178" s="1">
        <f t="shared" si="22"/>
        <v>100</v>
      </c>
      <c r="Y178" s="1">
        <v>3.3000000000000002E-2</v>
      </c>
      <c r="Z178" s="1">
        <v>8.0000000000000002E-3</v>
      </c>
      <c r="AA178" s="1">
        <v>11.8841755</v>
      </c>
      <c r="AB178" s="1">
        <v>6.8</v>
      </c>
      <c r="AC178" s="1">
        <v>25</v>
      </c>
      <c r="AD178" s="1" t="s">
        <v>66</v>
      </c>
      <c r="AE178" s="1">
        <v>10</v>
      </c>
      <c r="AH178" s="1">
        <v>3.5740319E-2</v>
      </c>
      <c r="AJ178" s="1">
        <f t="shared" si="27"/>
        <v>0.96425968100000004</v>
      </c>
      <c r="AK178" s="1">
        <f t="shared" si="26"/>
        <v>-3.6394642016794855E-2</v>
      </c>
      <c r="AM178">
        <v>23</v>
      </c>
      <c r="AN178">
        <f>IF(ISNUMBER(AJ178),IF(AJ178&gt;=0.05,1,0),"")</f>
        <v>1</v>
      </c>
      <c r="AO178">
        <f>IF(ISNUMBER(AJ178),IF(AJ178&lt;0.005,1,0),"")</f>
        <v>0</v>
      </c>
      <c r="AQ178" s="34"/>
      <c r="AR178" s="35"/>
      <c r="AS178" s="36"/>
    </row>
    <row r="179" spans="1:45" ht="42.75" x14ac:dyDescent="0.45">
      <c r="A179" s="1" t="s">
        <v>64</v>
      </c>
      <c r="B179" s="1" t="s">
        <v>65</v>
      </c>
      <c r="C179" s="1">
        <v>106</v>
      </c>
      <c r="D179" s="1">
        <v>250.28</v>
      </c>
      <c r="E179" s="1">
        <v>-0.1</v>
      </c>
      <c r="F179" s="1">
        <v>1.57</v>
      </c>
      <c r="G179" s="1">
        <v>1.93</v>
      </c>
      <c r="H179" s="1">
        <v>0.87</v>
      </c>
      <c r="I179" s="1">
        <v>0.86</v>
      </c>
      <c r="J179" s="1">
        <v>1.49</v>
      </c>
      <c r="K179" s="1" t="s">
        <v>67</v>
      </c>
      <c r="M179" s="1">
        <v>0.42</v>
      </c>
      <c r="N179" s="1">
        <v>1.1499999999999999</v>
      </c>
      <c r="P179">
        <v>7.2</v>
      </c>
      <c r="Q179" s="1">
        <v>35.5</v>
      </c>
      <c r="R179" s="1" t="s">
        <v>63</v>
      </c>
      <c r="S179" s="1">
        <v>307.27999999999997</v>
      </c>
      <c r="T179" s="1">
        <v>377</v>
      </c>
      <c r="U179" s="1">
        <v>1.82</v>
      </c>
      <c r="V179" s="1">
        <v>9.4</v>
      </c>
      <c r="W179" s="1">
        <v>0.1</v>
      </c>
      <c r="X179" s="1">
        <f t="shared" si="22"/>
        <v>100</v>
      </c>
      <c r="Y179" s="1">
        <v>3.3000000000000002E-2</v>
      </c>
      <c r="Z179" s="1">
        <v>8.0000000000000002E-3</v>
      </c>
      <c r="AA179" s="1">
        <v>0</v>
      </c>
      <c r="AB179" s="1">
        <v>6.8</v>
      </c>
      <c r="AC179" s="1">
        <v>25</v>
      </c>
      <c r="AD179" s="1" t="s">
        <v>66</v>
      </c>
      <c r="AE179" s="1">
        <v>10</v>
      </c>
      <c r="AH179" s="1">
        <v>0</v>
      </c>
      <c r="AI179" s="1">
        <f>-AK184/AA184</f>
        <v>3.0624456881165091E-3</v>
      </c>
      <c r="AJ179" s="1">
        <f t="shared" ref="AJ179" si="31">1-AH179</f>
        <v>1</v>
      </c>
      <c r="AK179" s="1">
        <f t="shared" si="26"/>
        <v>0</v>
      </c>
      <c r="AL179" s="1">
        <v>0.15975320423855799</v>
      </c>
      <c r="AM179">
        <v>24</v>
      </c>
      <c r="AN179">
        <f>IF(ISNUMBER(AJ179),IF(AJ179&gt;=0.05,1,0),"")</f>
        <v>1</v>
      </c>
      <c r="AO179">
        <f>IF(ISNUMBER(AJ179),IF(AJ179&lt;0.005,1,0),"")</f>
        <v>0</v>
      </c>
      <c r="AP179">
        <f>IFERROR(MATCH(0,AN179:AN184,0)-1,6)</f>
        <v>6</v>
      </c>
      <c r="AQ179" s="34">
        <f>IF(AP179&lt;3,"n&lt;3",IFERROR(-SLOPE(AK179:INDEX(AK179:AK184,AP179),AA179:INDEX(AA179:AA184,AP179)),"no fit"))</f>
        <v>1.7010761485276584E-3</v>
      </c>
      <c r="AR179" s="35">
        <f>IF(AP179&lt;3,"",IFERROR(RSQ(AK179:INDEX(AK179:AK184,AP179),AA179:INDEX(AA179:AA184,AP179)),"flat"))</f>
        <v>0.26770997700452132</v>
      </c>
      <c r="AS179" s="36">
        <f>IFERROR(AQ179/AI179,"")</f>
        <v>0.5554632871134666</v>
      </c>
    </row>
    <row r="180" spans="1:45" ht="42.75" x14ac:dyDescent="0.45">
      <c r="A180" s="1" t="s">
        <v>64</v>
      </c>
      <c r="B180" s="1" t="s">
        <v>65</v>
      </c>
      <c r="C180" s="1">
        <v>106</v>
      </c>
      <c r="D180" s="1">
        <v>250.28</v>
      </c>
      <c r="E180" s="1">
        <v>-0.1</v>
      </c>
      <c r="F180" s="1">
        <v>1.57</v>
      </c>
      <c r="G180" s="1">
        <v>1.93</v>
      </c>
      <c r="H180" s="1">
        <v>0.87</v>
      </c>
      <c r="I180" s="1">
        <v>0.86</v>
      </c>
      <c r="J180" s="1">
        <v>1.49</v>
      </c>
      <c r="K180" s="1" t="s">
        <v>67</v>
      </c>
      <c r="M180" s="1">
        <v>0.42</v>
      </c>
      <c r="N180" s="1">
        <v>1.1499999999999999</v>
      </c>
      <c r="P180">
        <v>7.2</v>
      </c>
      <c r="Q180" s="1">
        <v>35.5</v>
      </c>
      <c r="R180" s="1" t="s">
        <v>63</v>
      </c>
      <c r="S180" s="1">
        <v>307.27999999999997</v>
      </c>
      <c r="T180" s="1">
        <v>377</v>
      </c>
      <c r="U180" s="1">
        <v>1.82</v>
      </c>
      <c r="V180" s="1">
        <v>9.4</v>
      </c>
      <c r="W180" s="1">
        <v>0.1</v>
      </c>
      <c r="X180" s="1">
        <f t="shared" si="22"/>
        <v>100</v>
      </c>
      <c r="Y180" s="1">
        <v>3.3000000000000002E-2</v>
      </c>
      <c r="Z180" s="1">
        <v>8.0000000000000002E-3</v>
      </c>
      <c r="AA180" s="1">
        <v>0.93387549999999997</v>
      </c>
      <c r="AB180" s="1">
        <v>6.8</v>
      </c>
      <c r="AC180" s="1">
        <v>25</v>
      </c>
      <c r="AD180" s="1" t="s">
        <v>66</v>
      </c>
      <c r="AE180" s="1">
        <v>10</v>
      </c>
      <c r="AH180" s="1">
        <v>3.5740319E-2</v>
      </c>
      <c r="AJ180" s="1">
        <f t="shared" si="27"/>
        <v>0.96425968100000004</v>
      </c>
      <c r="AK180" s="1">
        <f t="shared" si="26"/>
        <v>-3.6394642016794855E-2</v>
      </c>
      <c r="AM180">
        <v>24</v>
      </c>
      <c r="AN180">
        <f>IF(ISNUMBER(AJ180),IF(AJ180&gt;=0.05,1,0),"")</f>
        <v>1</v>
      </c>
      <c r="AO180">
        <f>IF(ISNUMBER(AJ180),IF(AJ180&lt;0.005,1,0),"")</f>
        <v>0</v>
      </c>
      <c r="AQ180" s="34"/>
      <c r="AR180" s="35"/>
      <c r="AS180" s="36"/>
    </row>
    <row r="181" spans="1:45" ht="42.75" x14ac:dyDescent="0.45">
      <c r="A181" s="1" t="s">
        <v>64</v>
      </c>
      <c r="B181" s="1" t="s">
        <v>65</v>
      </c>
      <c r="C181" s="1">
        <v>106</v>
      </c>
      <c r="D181" s="1">
        <v>250.28</v>
      </c>
      <c r="E181" s="1">
        <v>-0.1</v>
      </c>
      <c r="F181" s="1">
        <v>1.57</v>
      </c>
      <c r="G181" s="1">
        <v>1.93</v>
      </c>
      <c r="H181" s="1">
        <v>0.87</v>
      </c>
      <c r="I181" s="1">
        <v>0.86</v>
      </c>
      <c r="J181" s="1">
        <v>1.49</v>
      </c>
      <c r="K181" s="1" t="s">
        <v>67</v>
      </c>
      <c r="M181" s="1">
        <v>0.42</v>
      </c>
      <c r="N181" s="1">
        <v>1.1499999999999999</v>
      </c>
      <c r="P181">
        <v>7.2</v>
      </c>
      <c r="Q181" s="1">
        <v>35.5</v>
      </c>
      <c r="R181" s="1" t="s">
        <v>63</v>
      </c>
      <c r="S181" s="1">
        <v>307.27999999999997</v>
      </c>
      <c r="T181" s="1">
        <v>377</v>
      </c>
      <c r="U181" s="1">
        <v>1.82</v>
      </c>
      <c r="V181" s="1">
        <v>9.4</v>
      </c>
      <c r="W181" s="1">
        <v>0.1</v>
      </c>
      <c r="X181" s="1">
        <f t="shared" si="22"/>
        <v>100</v>
      </c>
      <c r="Y181" s="1">
        <v>3.3000000000000002E-2</v>
      </c>
      <c r="Z181" s="1">
        <v>8.0000000000000002E-3</v>
      </c>
      <c r="AA181" s="1">
        <v>2.9110130000000001</v>
      </c>
      <c r="AB181" s="1">
        <v>6.8</v>
      </c>
      <c r="AC181" s="1">
        <v>25</v>
      </c>
      <c r="AD181" s="1" t="s">
        <v>66</v>
      </c>
      <c r="AE181" s="1">
        <v>10</v>
      </c>
      <c r="AH181" s="1">
        <v>3.5740319E-2</v>
      </c>
      <c r="AJ181" s="1">
        <f t="shared" si="27"/>
        <v>0.96425968100000004</v>
      </c>
      <c r="AK181" s="1">
        <f t="shared" si="26"/>
        <v>-3.6394642016794855E-2</v>
      </c>
      <c r="AM181">
        <v>24</v>
      </c>
      <c r="AN181">
        <f>IF(ISNUMBER(AJ181),IF(AJ181&gt;=0.05,1,0),"")</f>
        <v>1</v>
      </c>
      <c r="AO181">
        <f>IF(ISNUMBER(AJ181),IF(AJ181&lt;0.005,1,0),"")</f>
        <v>0</v>
      </c>
      <c r="AQ181" s="34"/>
      <c r="AR181" s="35"/>
      <c r="AS181" s="36"/>
    </row>
    <row r="182" spans="1:45" ht="42.75" x14ac:dyDescent="0.45">
      <c r="A182" s="1" t="s">
        <v>64</v>
      </c>
      <c r="B182" s="1" t="s">
        <v>65</v>
      </c>
      <c r="C182" s="1">
        <v>106</v>
      </c>
      <c r="D182" s="1">
        <v>250.28</v>
      </c>
      <c r="E182" s="1">
        <v>-0.1</v>
      </c>
      <c r="F182" s="1">
        <v>1.57</v>
      </c>
      <c r="G182" s="1">
        <v>1.93</v>
      </c>
      <c r="H182" s="1">
        <v>0.87</v>
      </c>
      <c r="I182" s="1">
        <v>0.86</v>
      </c>
      <c r="J182" s="1">
        <v>1.49</v>
      </c>
      <c r="K182" s="1" t="s">
        <v>67</v>
      </c>
      <c r="M182" s="1">
        <v>0.42</v>
      </c>
      <c r="N182" s="1">
        <v>1.1499999999999999</v>
      </c>
      <c r="P182">
        <v>7.2</v>
      </c>
      <c r="Q182" s="1">
        <v>35.5</v>
      </c>
      <c r="R182" s="1" t="s">
        <v>63</v>
      </c>
      <c r="S182" s="1">
        <v>307.27999999999997</v>
      </c>
      <c r="T182" s="1">
        <v>377</v>
      </c>
      <c r="U182" s="1">
        <v>1.82</v>
      </c>
      <c r="V182" s="1">
        <v>9.4</v>
      </c>
      <c r="W182" s="1">
        <v>0.1</v>
      </c>
      <c r="X182" s="1">
        <f t="shared" si="22"/>
        <v>100</v>
      </c>
      <c r="Y182" s="1">
        <v>3.3000000000000002E-2</v>
      </c>
      <c r="Z182" s="1">
        <v>8.0000000000000002E-3</v>
      </c>
      <c r="AA182" s="1">
        <v>4.8881505000000001</v>
      </c>
      <c r="AB182" s="1">
        <v>6.8</v>
      </c>
      <c r="AC182" s="1">
        <v>25</v>
      </c>
      <c r="AD182" s="1" t="s">
        <v>66</v>
      </c>
      <c r="AE182" s="1">
        <v>10</v>
      </c>
      <c r="AH182" s="1">
        <v>3.5740319E-2</v>
      </c>
      <c r="AJ182" s="1">
        <f t="shared" si="27"/>
        <v>0.96425968100000004</v>
      </c>
      <c r="AK182" s="1">
        <f t="shared" si="26"/>
        <v>-3.6394642016794855E-2</v>
      </c>
      <c r="AM182">
        <v>24</v>
      </c>
      <c r="AN182">
        <f>IF(ISNUMBER(AJ182),IF(AJ182&gt;=0.05,1,0),"")</f>
        <v>1</v>
      </c>
      <c r="AO182">
        <f>IF(ISNUMBER(AJ182),IF(AJ182&lt;0.005,1,0),"")</f>
        <v>0</v>
      </c>
      <c r="AQ182" s="34"/>
      <c r="AR182" s="35"/>
      <c r="AS182" s="36"/>
    </row>
    <row r="183" spans="1:45" ht="42.75" x14ac:dyDescent="0.45">
      <c r="A183" s="1" t="s">
        <v>64</v>
      </c>
      <c r="B183" s="1" t="s">
        <v>65</v>
      </c>
      <c r="C183" s="1">
        <v>106</v>
      </c>
      <c r="D183" s="1">
        <v>250.28</v>
      </c>
      <c r="E183" s="1">
        <v>-0.1</v>
      </c>
      <c r="F183" s="1">
        <v>1.57</v>
      </c>
      <c r="G183" s="1">
        <v>1.93</v>
      </c>
      <c r="H183" s="1">
        <v>0.87</v>
      </c>
      <c r="I183" s="1">
        <v>0.86</v>
      </c>
      <c r="J183" s="1">
        <v>1.49</v>
      </c>
      <c r="K183" s="1" t="s">
        <v>67</v>
      </c>
      <c r="M183" s="1">
        <v>0.42</v>
      </c>
      <c r="N183" s="1">
        <v>1.1499999999999999</v>
      </c>
      <c r="P183">
        <v>7.2</v>
      </c>
      <c r="Q183" s="1">
        <v>35.5</v>
      </c>
      <c r="R183" s="1" t="s">
        <v>63</v>
      </c>
      <c r="S183" s="1">
        <v>307.27999999999997</v>
      </c>
      <c r="T183" s="1">
        <v>377</v>
      </c>
      <c r="U183" s="1">
        <v>1.82</v>
      </c>
      <c r="V183" s="1">
        <v>9.4</v>
      </c>
      <c r="W183" s="1">
        <v>0.1</v>
      </c>
      <c r="X183" s="1">
        <f t="shared" si="22"/>
        <v>100</v>
      </c>
      <c r="Y183" s="1">
        <v>3.3000000000000002E-2</v>
      </c>
      <c r="Z183" s="1">
        <v>8.0000000000000002E-3</v>
      </c>
      <c r="AA183" s="1">
        <v>8.021153</v>
      </c>
      <c r="AB183" s="1">
        <v>6.8</v>
      </c>
      <c r="AC183" s="1">
        <v>25</v>
      </c>
      <c r="AD183" s="1" t="s">
        <v>66</v>
      </c>
      <c r="AE183" s="1">
        <v>10</v>
      </c>
      <c r="AH183" s="1">
        <v>3.5740319E-2</v>
      </c>
      <c r="AJ183" s="1">
        <f t="shared" si="27"/>
        <v>0.96425968100000004</v>
      </c>
      <c r="AK183" s="1">
        <f t="shared" si="26"/>
        <v>-3.6394642016794855E-2</v>
      </c>
      <c r="AM183">
        <v>24</v>
      </c>
      <c r="AN183">
        <f>IF(ISNUMBER(AJ183),IF(AJ183&gt;=0.05,1,0),"")</f>
        <v>1</v>
      </c>
      <c r="AO183">
        <f>IF(ISNUMBER(AJ183),IF(AJ183&lt;0.005,1,0),"")</f>
        <v>0</v>
      </c>
      <c r="AQ183" s="34"/>
      <c r="AR183" s="35"/>
      <c r="AS183" s="36"/>
    </row>
    <row r="184" spans="1:45" ht="42.75" x14ac:dyDescent="0.45">
      <c r="A184" s="1" t="s">
        <v>64</v>
      </c>
      <c r="B184" s="1" t="s">
        <v>65</v>
      </c>
      <c r="C184" s="1">
        <v>106</v>
      </c>
      <c r="D184" s="1">
        <v>250.28</v>
      </c>
      <c r="E184" s="1">
        <v>-0.1</v>
      </c>
      <c r="F184" s="1">
        <v>1.57</v>
      </c>
      <c r="G184" s="1">
        <v>1.93</v>
      </c>
      <c r="H184" s="1">
        <v>0.87</v>
      </c>
      <c r="I184" s="1">
        <v>0.86</v>
      </c>
      <c r="J184" s="1">
        <v>1.49</v>
      </c>
      <c r="K184" s="1" t="s">
        <v>67</v>
      </c>
      <c r="M184" s="1">
        <v>0.42</v>
      </c>
      <c r="N184" s="1">
        <v>1.1499999999999999</v>
      </c>
      <c r="P184">
        <v>7.2</v>
      </c>
      <c r="Q184" s="1">
        <v>35.5</v>
      </c>
      <c r="R184" s="1" t="s">
        <v>63</v>
      </c>
      <c r="S184" s="1">
        <v>307.27999999999997</v>
      </c>
      <c r="T184" s="1">
        <v>377</v>
      </c>
      <c r="U184" s="1">
        <v>1.82</v>
      </c>
      <c r="V184" s="1">
        <v>9.4</v>
      </c>
      <c r="W184" s="1">
        <v>0.1</v>
      </c>
      <c r="X184" s="1">
        <f t="shared" si="22"/>
        <v>100</v>
      </c>
      <c r="Y184" s="1">
        <v>3.3000000000000002E-2</v>
      </c>
      <c r="Z184" s="1">
        <v>8.0000000000000002E-3</v>
      </c>
      <c r="AA184" s="1">
        <v>11.8841755</v>
      </c>
      <c r="AB184" s="1">
        <v>6.8</v>
      </c>
      <c r="AC184" s="1">
        <v>25</v>
      </c>
      <c r="AD184" s="1" t="s">
        <v>66</v>
      </c>
      <c r="AE184" s="1">
        <v>10</v>
      </c>
      <c r="AH184" s="1">
        <v>3.5740319E-2</v>
      </c>
      <c r="AJ184" s="1">
        <f t="shared" si="27"/>
        <v>0.96425968100000004</v>
      </c>
      <c r="AK184" s="1">
        <f t="shared" si="26"/>
        <v>-3.6394642016794855E-2</v>
      </c>
      <c r="AM184">
        <v>24</v>
      </c>
      <c r="AN184">
        <f>IF(ISNUMBER(AJ184),IF(AJ184&gt;=0.05,1,0),"")</f>
        <v>1</v>
      </c>
      <c r="AO184">
        <f>IF(ISNUMBER(AJ184),IF(AJ184&lt;0.005,1,0),"")</f>
        <v>0</v>
      </c>
      <c r="AQ184" s="34"/>
      <c r="AR184" s="35"/>
      <c r="AS184" s="36"/>
    </row>
    <row r="185" spans="1:45" ht="42.75" x14ac:dyDescent="0.45">
      <c r="A185" s="1" t="s">
        <v>68</v>
      </c>
      <c r="B185" s="1" t="s">
        <v>65</v>
      </c>
      <c r="C185" s="1">
        <v>106</v>
      </c>
      <c r="D185" s="1">
        <v>250.28</v>
      </c>
      <c r="E185" s="1">
        <v>-0.1</v>
      </c>
      <c r="F185" s="1">
        <v>1.57</v>
      </c>
      <c r="G185" s="1">
        <v>1.93</v>
      </c>
      <c r="H185" s="1">
        <v>0.87</v>
      </c>
      <c r="I185" s="1">
        <v>0.86</v>
      </c>
      <c r="J185" s="1">
        <v>1.49</v>
      </c>
      <c r="K185" s="1" t="s">
        <v>70</v>
      </c>
      <c r="M185" s="1">
        <v>0.4</v>
      </c>
      <c r="N185" s="1">
        <v>4.22</v>
      </c>
      <c r="P185" s="1">
        <v>5.2</v>
      </c>
      <c r="Q185" s="1">
        <v>36</v>
      </c>
      <c r="R185" s="1" t="s">
        <v>63</v>
      </c>
      <c r="S185" s="1">
        <v>307.27999999999997</v>
      </c>
      <c r="T185" s="1">
        <v>377</v>
      </c>
      <c r="U185" s="1">
        <v>1.82</v>
      </c>
      <c r="V185" s="1">
        <v>9.4</v>
      </c>
      <c r="W185" s="1">
        <v>0.1</v>
      </c>
      <c r="X185" s="1">
        <f t="shared" si="22"/>
        <v>100</v>
      </c>
      <c r="Y185" s="1">
        <v>3.3000000000000002E-2</v>
      </c>
      <c r="Z185" s="1">
        <v>8.0000000000000002E-3</v>
      </c>
      <c r="AA185" s="1">
        <v>0</v>
      </c>
      <c r="AB185" s="1">
        <v>6.8</v>
      </c>
      <c r="AC185" s="1">
        <v>25</v>
      </c>
      <c r="AD185" s="1" t="s">
        <v>66</v>
      </c>
      <c r="AE185" s="1">
        <v>10</v>
      </c>
      <c r="AH185" s="1">
        <v>0</v>
      </c>
      <c r="AI185" s="1">
        <f>-AK194/AA194</f>
        <v>2.0816838519789171E-2</v>
      </c>
      <c r="AJ185" s="1">
        <f t="shared" ref="AJ185" si="32">1-AH185</f>
        <v>1</v>
      </c>
      <c r="AK185" s="1">
        <f t="shared" si="26"/>
        <v>0</v>
      </c>
      <c r="AL185" s="1">
        <v>2.10796345693436E-2</v>
      </c>
      <c r="AM185">
        <v>25</v>
      </c>
      <c r="AN185">
        <f>IF(ISNUMBER(AJ185),IF(AJ185&gt;=0.05,1,0),"")</f>
        <v>1</v>
      </c>
      <c r="AO185">
        <f>IF(ISNUMBER(AJ185),IF(AJ185&lt;0.005,1,0),"")</f>
        <v>0</v>
      </c>
      <c r="AP185">
        <f>IFERROR(MATCH(0,AN185:AN194,0)-1,10)</f>
        <v>10</v>
      </c>
      <c r="AQ185" s="34">
        <f>IF(AP185&lt;3,"n&lt;3",IFERROR(-SLOPE(AK185:INDEX(AK185:AK194,AP185),AA185:INDEX(AA185:AA194,AP185)),"no fit"))</f>
        <v>2.0439967543475449E-2</v>
      </c>
      <c r="AR185" s="35">
        <f>IF(AP185&lt;3,"",IFERROR(RSQ(AK185:INDEX(AK185:AK194,AP185),AA185:INDEX(AA185:AA194,AP185)),"flat"))</f>
        <v>0.95049946400978069</v>
      </c>
      <c r="AS185" s="36">
        <f>IFERROR(AQ185/AI185,"")</f>
        <v>0.98189585916442323</v>
      </c>
    </row>
    <row r="186" spans="1:45" ht="42.75" x14ac:dyDescent="0.45">
      <c r="A186" s="1" t="s">
        <v>68</v>
      </c>
      <c r="B186" s="1" t="s">
        <v>65</v>
      </c>
      <c r="C186" s="1">
        <v>106</v>
      </c>
      <c r="D186" s="1">
        <v>250.28</v>
      </c>
      <c r="E186" s="1">
        <v>-0.1</v>
      </c>
      <c r="F186" s="1">
        <v>1.57</v>
      </c>
      <c r="G186" s="1">
        <v>1.93</v>
      </c>
      <c r="H186" s="1">
        <v>0.87</v>
      </c>
      <c r="I186" s="1">
        <v>0.86</v>
      </c>
      <c r="J186" s="1">
        <v>1.49</v>
      </c>
      <c r="K186" s="1" t="s">
        <v>70</v>
      </c>
      <c r="M186" s="1">
        <v>0.4</v>
      </c>
      <c r="N186" s="1">
        <v>4.22</v>
      </c>
      <c r="P186" s="1">
        <v>5.2</v>
      </c>
      <c r="Q186" s="1">
        <v>36</v>
      </c>
      <c r="R186" s="1" t="s">
        <v>63</v>
      </c>
      <c r="S186" s="1">
        <v>307.27999999999997</v>
      </c>
      <c r="T186" s="1">
        <v>377</v>
      </c>
      <c r="U186" s="1">
        <v>1.82</v>
      </c>
      <c r="V186" s="1">
        <v>9.4</v>
      </c>
      <c r="W186" s="1">
        <v>0.1</v>
      </c>
      <c r="X186" s="1">
        <f t="shared" si="22"/>
        <v>100</v>
      </c>
      <c r="Y186" s="1">
        <v>3.3000000000000002E-2</v>
      </c>
      <c r="Z186" s="1">
        <v>8.0000000000000002E-3</v>
      </c>
      <c r="AA186" s="1">
        <v>1.04904299479167</v>
      </c>
      <c r="AB186" s="1">
        <v>6.8</v>
      </c>
      <c r="AC186" s="1">
        <v>25</v>
      </c>
      <c r="AD186" s="1" t="s">
        <v>66</v>
      </c>
      <c r="AE186" s="1">
        <v>10</v>
      </c>
      <c r="AH186" s="1">
        <v>1.1616679964539967E-2</v>
      </c>
      <c r="AJ186" s="1">
        <f t="shared" si="27"/>
        <v>0.98838332003546003</v>
      </c>
      <c r="AK186" s="1">
        <f t="shared" si="26"/>
        <v>-1.1684680733004566E-2</v>
      </c>
      <c r="AM186">
        <v>25</v>
      </c>
      <c r="AN186">
        <f>IF(ISNUMBER(AJ186),IF(AJ186&gt;=0.05,1,0),"")</f>
        <v>1</v>
      </c>
      <c r="AO186">
        <f>IF(ISNUMBER(AJ186),IF(AJ186&lt;0.005,1,0),"")</f>
        <v>0</v>
      </c>
      <c r="AQ186" s="34"/>
      <c r="AR186" s="35"/>
      <c r="AS186" s="36"/>
    </row>
    <row r="187" spans="1:45" ht="42.75" x14ac:dyDescent="0.45">
      <c r="A187" s="1" t="s">
        <v>68</v>
      </c>
      <c r="B187" s="1" t="s">
        <v>65</v>
      </c>
      <c r="C187" s="1">
        <v>106</v>
      </c>
      <c r="D187" s="1">
        <v>250.28</v>
      </c>
      <c r="E187" s="1">
        <v>-0.1</v>
      </c>
      <c r="F187" s="1">
        <v>1.57</v>
      </c>
      <c r="G187" s="1">
        <v>1.93</v>
      </c>
      <c r="H187" s="1">
        <v>0.87</v>
      </c>
      <c r="I187" s="1">
        <v>0.86</v>
      </c>
      <c r="J187" s="1">
        <v>1.49</v>
      </c>
      <c r="K187" s="1" t="s">
        <v>70</v>
      </c>
      <c r="M187" s="1">
        <v>0.4</v>
      </c>
      <c r="N187" s="1">
        <v>4.22</v>
      </c>
      <c r="P187" s="1">
        <v>5.2</v>
      </c>
      <c r="Q187" s="1">
        <v>36</v>
      </c>
      <c r="R187" s="1" t="s">
        <v>63</v>
      </c>
      <c r="S187" s="1">
        <v>307.27999999999997</v>
      </c>
      <c r="T187" s="1">
        <v>377</v>
      </c>
      <c r="U187" s="1">
        <v>1.82</v>
      </c>
      <c r="V187" s="1">
        <v>9.4</v>
      </c>
      <c r="W187" s="1">
        <v>0.1</v>
      </c>
      <c r="X187" s="1">
        <f t="shared" si="22"/>
        <v>100</v>
      </c>
      <c r="Y187" s="1">
        <v>3.3000000000000002E-2</v>
      </c>
      <c r="Z187" s="1">
        <v>8.0000000000000002E-3</v>
      </c>
      <c r="AA187" s="1">
        <v>2.8927870833333298</v>
      </c>
      <c r="AB187" s="1">
        <v>6.8</v>
      </c>
      <c r="AC187" s="1">
        <v>25</v>
      </c>
      <c r="AD187" s="1" t="s">
        <v>66</v>
      </c>
      <c r="AE187" s="1">
        <v>10</v>
      </c>
      <c r="AH187" s="1">
        <v>1.732265780141895E-2</v>
      </c>
      <c r="AJ187" s="1">
        <f t="shared" si="27"/>
        <v>0.98267734219858105</v>
      </c>
      <c r="AK187" s="1">
        <f t="shared" si="26"/>
        <v>-1.7474450561583112E-2</v>
      </c>
      <c r="AM187">
        <v>25</v>
      </c>
      <c r="AN187">
        <f>IF(ISNUMBER(AJ187),IF(AJ187&gt;=0.05,1,0),"")</f>
        <v>1</v>
      </c>
      <c r="AO187">
        <f>IF(ISNUMBER(AJ187),IF(AJ187&lt;0.005,1,0),"")</f>
        <v>0</v>
      </c>
      <c r="AQ187" s="34"/>
      <c r="AR187" s="35"/>
      <c r="AS187" s="36"/>
    </row>
    <row r="188" spans="1:45" ht="42.75" x14ac:dyDescent="0.45">
      <c r="A188" s="1" t="s">
        <v>68</v>
      </c>
      <c r="B188" s="1" t="s">
        <v>65</v>
      </c>
      <c r="C188" s="1">
        <v>106</v>
      </c>
      <c r="D188" s="1">
        <v>250.28</v>
      </c>
      <c r="E188" s="1">
        <v>-0.1</v>
      </c>
      <c r="F188" s="1">
        <v>1.57</v>
      </c>
      <c r="G188" s="1">
        <v>1.93</v>
      </c>
      <c r="H188" s="1">
        <v>0.87</v>
      </c>
      <c r="I188" s="1">
        <v>0.86</v>
      </c>
      <c r="J188" s="1">
        <v>1.49</v>
      </c>
      <c r="K188" s="1" t="s">
        <v>70</v>
      </c>
      <c r="M188" s="1">
        <v>0.4</v>
      </c>
      <c r="N188" s="1">
        <v>4.22</v>
      </c>
      <c r="P188" s="1">
        <v>5.2</v>
      </c>
      <c r="Q188" s="1">
        <v>36</v>
      </c>
      <c r="R188" s="1" t="s">
        <v>63</v>
      </c>
      <c r="S188" s="1">
        <v>307.27999999999997</v>
      </c>
      <c r="T188" s="1">
        <v>377</v>
      </c>
      <c r="U188" s="1">
        <v>1.82</v>
      </c>
      <c r="V188" s="1">
        <v>9.4</v>
      </c>
      <c r="W188" s="1">
        <v>0.1</v>
      </c>
      <c r="X188" s="1">
        <f t="shared" si="22"/>
        <v>100</v>
      </c>
      <c r="Y188" s="1">
        <v>3.3000000000000002E-2</v>
      </c>
      <c r="Z188" s="1">
        <v>8.0000000000000002E-3</v>
      </c>
      <c r="AA188" s="1">
        <v>5.9936294140625002</v>
      </c>
      <c r="AB188" s="1">
        <v>6.8</v>
      </c>
      <c r="AC188" s="1">
        <v>25</v>
      </c>
      <c r="AD188" s="1" t="s">
        <v>66</v>
      </c>
      <c r="AE188" s="1">
        <v>10</v>
      </c>
      <c r="AH188" s="1">
        <v>4.870553590425597E-2</v>
      </c>
      <c r="AJ188" s="1">
        <f t="shared" si="27"/>
        <v>0.95129446409574403</v>
      </c>
      <c r="AK188" s="1">
        <f t="shared" si="26"/>
        <v>-4.9931628091037177E-2</v>
      </c>
      <c r="AM188">
        <v>25</v>
      </c>
      <c r="AN188">
        <f>IF(ISNUMBER(AJ188),IF(AJ188&gt;=0.05,1,0),"")</f>
        <v>1</v>
      </c>
      <c r="AO188">
        <f>IF(ISNUMBER(AJ188),IF(AJ188&lt;0.005,1,0),"")</f>
        <v>0</v>
      </c>
      <c r="AQ188" s="34"/>
      <c r="AR188" s="35"/>
      <c r="AS188" s="36"/>
    </row>
    <row r="189" spans="1:45" ht="42.75" x14ac:dyDescent="0.45">
      <c r="A189" s="1" t="s">
        <v>68</v>
      </c>
      <c r="B189" s="1" t="s">
        <v>65</v>
      </c>
      <c r="C189" s="1">
        <v>106</v>
      </c>
      <c r="D189" s="1">
        <v>250.28</v>
      </c>
      <c r="E189" s="1">
        <v>-0.1</v>
      </c>
      <c r="F189" s="1">
        <v>1.57</v>
      </c>
      <c r="G189" s="1">
        <v>1.93</v>
      </c>
      <c r="H189" s="1">
        <v>0.87</v>
      </c>
      <c r="I189" s="1">
        <v>0.86</v>
      </c>
      <c r="J189" s="1">
        <v>1.49</v>
      </c>
      <c r="K189" s="1" t="s">
        <v>70</v>
      </c>
      <c r="M189" s="1">
        <v>0.4</v>
      </c>
      <c r="N189" s="1">
        <v>4.22</v>
      </c>
      <c r="P189" s="1">
        <v>5.2</v>
      </c>
      <c r="Q189" s="1">
        <v>36</v>
      </c>
      <c r="R189" s="1" t="s">
        <v>63</v>
      </c>
      <c r="S189" s="1">
        <v>307.27999999999997</v>
      </c>
      <c r="T189" s="1">
        <v>377</v>
      </c>
      <c r="U189" s="1">
        <v>1.82</v>
      </c>
      <c r="V189" s="1">
        <v>9.4</v>
      </c>
      <c r="W189" s="1">
        <v>0.1</v>
      </c>
      <c r="X189" s="1">
        <f t="shared" si="22"/>
        <v>100</v>
      </c>
      <c r="Y189" s="1">
        <v>3.3000000000000002E-2</v>
      </c>
      <c r="Z189" s="1">
        <v>8.0000000000000002E-3</v>
      </c>
      <c r="AA189" s="1">
        <v>9.0106651953124999</v>
      </c>
      <c r="AB189" s="1">
        <v>6.8</v>
      </c>
      <c r="AC189" s="1">
        <v>25</v>
      </c>
      <c r="AD189" s="1" t="s">
        <v>66</v>
      </c>
      <c r="AE189" s="1">
        <v>10</v>
      </c>
      <c r="AH189" s="1">
        <v>8.008841400709299E-2</v>
      </c>
      <c r="AJ189" s="1">
        <f t="shared" si="27"/>
        <v>0.91991158599290701</v>
      </c>
      <c r="AK189" s="1">
        <f t="shared" si="26"/>
        <v>-8.3477715738784403E-2</v>
      </c>
      <c r="AM189">
        <v>25</v>
      </c>
      <c r="AN189">
        <f>IF(ISNUMBER(AJ189),IF(AJ189&gt;=0.05,1,0),"")</f>
        <v>1</v>
      </c>
      <c r="AO189">
        <f>IF(ISNUMBER(AJ189),IF(AJ189&lt;0.005,1,0),"")</f>
        <v>0</v>
      </c>
      <c r="AQ189" s="34"/>
      <c r="AR189" s="35"/>
      <c r="AS189" s="36"/>
    </row>
    <row r="190" spans="1:45" ht="42.75" x14ac:dyDescent="0.45">
      <c r="A190" s="1" t="s">
        <v>68</v>
      </c>
      <c r="B190" s="1" t="s">
        <v>65</v>
      </c>
      <c r="C190" s="1">
        <v>106</v>
      </c>
      <c r="D190" s="1">
        <v>250.28</v>
      </c>
      <c r="E190" s="1">
        <v>-0.1</v>
      </c>
      <c r="F190" s="1">
        <v>1.57</v>
      </c>
      <c r="G190" s="1">
        <v>1.93</v>
      </c>
      <c r="H190" s="1">
        <v>0.87</v>
      </c>
      <c r="I190" s="1">
        <v>0.86</v>
      </c>
      <c r="J190" s="1">
        <v>1.49</v>
      </c>
      <c r="K190" s="1" t="s">
        <v>70</v>
      </c>
      <c r="M190" s="1">
        <v>0.4</v>
      </c>
      <c r="N190" s="1">
        <v>4.22</v>
      </c>
      <c r="P190" s="1">
        <v>5.2</v>
      </c>
      <c r="Q190" s="1">
        <v>36</v>
      </c>
      <c r="R190" s="1" t="s">
        <v>63</v>
      </c>
      <c r="S190" s="1">
        <v>307.27999999999997</v>
      </c>
      <c r="T190" s="1">
        <v>377</v>
      </c>
      <c r="U190" s="1">
        <v>1.82</v>
      </c>
      <c r="V190" s="1">
        <v>9.4</v>
      </c>
      <c r="W190" s="1">
        <v>0.1</v>
      </c>
      <c r="X190" s="1">
        <f t="shared" si="22"/>
        <v>100</v>
      </c>
      <c r="Y190" s="1">
        <v>3.3000000000000002E-2</v>
      </c>
      <c r="Z190" s="1">
        <v>8.0000000000000002E-3</v>
      </c>
      <c r="AA190" s="1">
        <v>11.943894427083301</v>
      </c>
      <c r="AB190" s="1">
        <v>6.8</v>
      </c>
      <c r="AC190" s="1">
        <v>25</v>
      </c>
      <c r="AD190" s="1" t="s">
        <v>66</v>
      </c>
      <c r="AE190" s="1">
        <v>10</v>
      </c>
      <c r="AH190" s="1">
        <v>0.11717726994680899</v>
      </c>
      <c r="AJ190" s="1">
        <f t="shared" si="27"/>
        <v>0.88282273005319101</v>
      </c>
      <c r="AK190" s="1">
        <f t="shared" si="26"/>
        <v>-0.12463085724956371</v>
      </c>
      <c r="AM190">
        <v>25</v>
      </c>
      <c r="AN190">
        <f>IF(ISNUMBER(AJ190),IF(AJ190&gt;=0.05,1,0),"")</f>
        <v>1</v>
      </c>
      <c r="AO190">
        <f>IF(ISNUMBER(AJ190),IF(AJ190&lt;0.005,1,0),"")</f>
        <v>0</v>
      </c>
      <c r="AQ190" s="34"/>
      <c r="AR190" s="35"/>
      <c r="AS190" s="36"/>
    </row>
    <row r="191" spans="1:45" ht="42.75" x14ac:dyDescent="0.45">
      <c r="A191" s="1" t="s">
        <v>68</v>
      </c>
      <c r="B191" s="1" t="s">
        <v>65</v>
      </c>
      <c r="C191" s="1">
        <v>106</v>
      </c>
      <c r="D191" s="1">
        <v>250.28</v>
      </c>
      <c r="E191" s="1">
        <v>-0.1</v>
      </c>
      <c r="F191" s="1">
        <v>1.57</v>
      </c>
      <c r="G191" s="1">
        <v>1.93</v>
      </c>
      <c r="H191" s="1">
        <v>0.87</v>
      </c>
      <c r="I191" s="1">
        <v>0.86</v>
      </c>
      <c r="J191" s="1">
        <v>1.49</v>
      </c>
      <c r="K191" s="1" t="s">
        <v>70</v>
      </c>
      <c r="M191" s="1">
        <v>0.4</v>
      </c>
      <c r="N191" s="1">
        <v>4.22</v>
      </c>
      <c r="P191" s="1">
        <v>5.2</v>
      </c>
      <c r="Q191" s="1">
        <v>36</v>
      </c>
      <c r="R191" s="1" t="s">
        <v>63</v>
      </c>
      <c r="S191" s="1">
        <v>307.27999999999997</v>
      </c>
      <c r="T191" s="1">
        <v>377</v>
      </c>
      <c r="U191" s="1">
        <v>1.82</v>
      </c>
      <c r="V191" s="1">
        <v>9.4</v>
      </c>
      <c r="W191" s="1">
        <v>0.1</v>
      </c>
      <c r="X191" s="1">
        <f t="shared" si="22"/>
        <v>100</v>
      </c>
      <c r="Y191" s="1">
        <v>3.3000000000000002E-2</v>
      </c>
      <c r="Z191" s="1">
        <v>8.0000000000000002E-3</v>
      </c>
      <c r="AA191" s="1">
        <v>15.6313826041666</v>
      </c>
      <c r="AB191" s="1">
        <v>6.8</v>
      </c>
      <c r="AC191" s="1">
        <v>25</v>
      </c>
      <c r="AD191" s="1" t="s">
        <v>66</v>
      </c>
      <c r="AE191" s="1">
        <v>10</v>
      </c>
      <c r="AH191" s="1">
        <v>0.15997210372340498</v>
      </c>
      <c r="AJ191" s="1">
        <f t="shared" si="27"/>
        <v>0.84002789627659502</v>
      </c>
      <c r="AK191" s="1">
        <f t="shared" si="26"/>
        <v>-0.1743201778431234</v>
      </c>
      <c r="AM191">
        <v>25</v>
      </c>
      <c r="AN191">
        <f>IF(ISNUMBER(AJ191),IF(AJ191&gt;=0.05,1,0),"")</f>
        <v>1</v>
      </c>
      <c r="AO191">
        <f>IF(ISNUMBER(AJ191),IF(AJ191&lt;0.005,1,0),"")</f>
        <v>0</v>
      </c>
      <c r="AQ191" s="34"/>
      <c r="AR191" s="35"/>
      <c r="AS191" s="36"/>
    </row>
    <row r="192" spans="1:45" ht="42.75" x14ac:dyDescent="0.45">
      <c r="A192" s="1" t="s">
        <v>68</v>
      </c>
      <c r="B192" s="1" t="s">
        <v>65</v>
      </c>
      <c r="C192" s="1">
        <v>106</v>
      </c>
      <c r="D192" s="1">
        <v>250.28</v>
      </c>
      <c r="E192" s="1">
        <v>-0.1</v>
      </c>
      <c r="F192" s="1">
        <v>1.57</v>
      </c>
      <c r="G192" s="1">
        <v>1.93</v>
      </c>
      <c r="H192" s="1">
        <v>0.87</v>
      </c>
      <c r="I192" s="1">
        <v>0.86</v>
      </c>
      <c r="J192" s="1">
        <v>1.49</v>
      </c>
      <c r="K192" s="1" t="s">
        <v>70</v>
      </c>
      <c r="M192" s="1">
        <v>0.4</v>
      </c>
      <c r="N192" s="1">
        <v>4.22</v>
      </c>
      <c r="P192" s="1">
        <v>5.2</v>
      </c>
      <c r="Q192" s="1">
        <v>36</v>
      </c>
      <c r="R192" s="1" t="s">
        <v>63</v>
      </c>
      <c r="S192" s="1">
        <v>307.27999999999997</v>
      </c>
      <c r="T192" s="1">
        <v>377</v>
      </c>
      <c r="U192" s="1">
        <v>1.82</v>
      </c>
      <c r="V192" s="1">
        <v>9.4</v>
      </c>
      <c r="W192" s="1">
        <v>0.1</v>
      </c>
      <c r="X192" s="1">
        <f t="shared" si="22"/>
        <v>100</v>
      </c>
      <c r="Y192" s="1">
        <v>3.3000000000000002E-2</v>
      </c>
      <c r="Z192" s="1">
        <v>8.0000000000000002E-3</v>
      </c>
      <c r="AA192" s="1">
        <v>19.905516627604101</v>
      </c>
      <c r="AB192" s="1">
        <v>6.8</v>
      </c>
      <c r="AC192" s="1">
        <v>25</v>
      </c>
      <c r="AD192" s="1" t="s">
        <v>66</v>
      </c>
      <c r="AE192" s="1">
        <v>10</v>
      </c>
      <c r="AH192" s="1">
        <v>0.22273785992907902</v>
      </c>
      <c r="AJ192" s="1">
        <f t="shared" si="27"/>
        <v>0.77726214007092098</v>
      </c>
      <c r="AK192" s="1">
        <f t="shared" si="26"/>
        <v>-0.25197761090385606</v>
      </c>
      <c r="AM192">
        <v>25</v>
      </c>
      <c r="AN192">
        <f>IF(ISNUMBER(AJ192),IF(AJ192&gt;=0.05,1,0),"")</f>
        <v>1</v>
      </c>
      <c r="AO192">
        <f>IF(ISNUMBER(AJ192),IF(AJ192&lt;0.005,1,0),"")</f>
        <v>0</v>
      </c>
      <c r="AQ192" s="34"/>
      <c r="AR192" s="35"/>
      <c r="AS192" s="36"/>
    </row>
    <row r="193" spans="1:45" ht="42.75" x14ac:dyDescent="0.45">
      <c r="A193" s="1" t="s">
        <v>68</v>
      </c>
      <c r="B193" s="1" t="s">
        <v>65</v>
      </c>
      <c r="C193" s="1">
        <v>106</v>
      </c>
      <c r="D193" s="1">
        <v>250.28</v>
      </c>
      <c r="E193" s="1">
        <v>-0.1</v>
      </c>
      <c r="F193" s="1">
        <v>1.57</v>
      </c>
      <c r="G193" s="1">
        <v>1.93</v>
      </c>
      <c r="H193" s="1">
        <v>0.87</v>
      </c>
      <c r="I193" s="1">
        <v>0.86</v>
      </c>
      <c r="J193" s="1">
        <v>1.49</v>
      </c>
      <c r="K193" s="1" t="s">
        <v>70</v>
      </c>
      <c r="M193" s="1">
        <v>0.4</v>
      </c>
      <c r="N193" s="1">
        <v>4.22</v>
      </c>
      <c r="P193" s="1">
        <v>5.2</v>
      </c>
      <c r="Q193" s="1">
        <v>36</v>
      </c>
      <c r="R193" s="1" t="s">
        <v>63</v>
      </c>
      <c r="S193" s="1">
        <v>307.27999999999997</v>
      </c>
      <c r="T193" s="1">
        <v>377</v>
      </c>
      <c r="U193" s="1">
        <v>1.82</v>
      </c>
      <c r="V193" s="1">
        <v>9.4</v>
      </c>
      <c r="W193" s="1">
        <v>0.1</v>
      </c>
      <c r="X193" s="1">
        <f t="shared" si="22"/>
        <v>100</v>
      </c>
      <c r="Y193" s="1">
        <v>3.3000000000000002E-2</v>
      </c>
      <c r="Z193" s="1">
        <v>8.0000000000000002E-3</v>
      </c>
      <c r="AA193" s="1">
        <v>29.5432698177083</v>
      </c>
      <c r="AB193" s="1">
        <v>6.8</v>
      </c>
      <c r="AC193" s="1">
        <v>25</v>
      </c>
      <c r="AD193" s="1" t="s">
        <v>66</v>
      </c>
      <c r="AE193" s="1">
        <v>10</v>
      </c>
      <c r="AH193" s="1">
        <v>0.42244708421985899</v>
      </c>
      <c r="AJ193" s="1">
        <f t="shared" si="27"/>
        <v>0.57755291578014101</v>
      </c>
      <c r="AK193" s="1">
        <f t="shared" si="26"/>
        <v>-0.54895521172735284</v>
      </c>
      <c r="AM193">
        <v>25</v>
      </c>
      <c r="AN193">
        <f>IF(ISNUMBER(AJ193),IF(AJ193&gt;=0.05,1,0),"")</f>
        <v>1</v>
      </c>
      <c r="AO193">
        <f>IF(ISNUMBER(AJ193),IF(AJ193&lt;0.005,1,0),"")</f>
        <v>0</v>
      </c>
      <c r="AQ193" s="34"/>
      <c r="AR193" s="35"/>
      <c r="AS193" s="36"/>
    </row>
    <row r="194" spans="1:45" ht="42.75" x14ac:dyDescent="0.45">
      <c r="A194" s="1" t="s">
        <v>68</v>
      </c>
      <c r="B194" s="1" t="s">
        <v>65</v>
      </c>
      <c r="C194" s="1">
        <v>106</v>
      </c>
      <c r="D194" s="1">
        <v>250.28</v>
      </c>
      <c r="E194" s="1">
        <v>-0.1</v>
      </c>
      <c r="F194" s="1">
        <v>1.57</v>
      </c>
      <c r="G194" s="1">
        <v>1.93</v>
      </c>
      <c r="H194" s="1">
        <v>0.87</v>
      </c>
      <c r="I194" s="1">
        <v>0.86</v>
      </c>
      <c r="J194" s="1">
        <v>1.49</v>
      </c>
      <c r="K194" s="1" t="s">
        <v>70</v>
      </c>
      <c r="M194" s="1">
        <v>0.4</v>
      </c>
      <c r="N194" s="1">
        <v>4.22</v>
      </c>
      <c r="P194" s="1">
        <v>5.2</v>
      </c>
      <c r="Q194" s="1">
        <v>36</v>
      </c>
      <c r="R194" s="1" t="s">
        <v>63</v>
      </c>
      <c r="S194" s="1">
        <v>307.27999999999997</v>
      </c>
      <c r="T194" s="1">
        <v>377</v>
      </c>
      <c r="U194" s="1">
        <v>1.82</v>
      </c>
      <c r="V194" s="1">
        <v>9.4</v>
      </c>
      <c r="W194" s="1">
        <v>0.1</v>
      </c>
      <c r="X194" s="1">
        <f t="shared" si="22"/>
        <v>100</v>
      </c>
      <c r="Y194" s="1">
        <v>3.3000000000000002E-2</v>
      </c>
      <c r="Z194" s="1">
        <v>8.0000000000000002E-3</v>
      </c>
      <c r="AA194" s="1">
        <v>39.683862304687402</v>
      </c>
      <c r="AB194" s="1">
        <v>6.8</v>
      </c>
      <c r="AC194" s="1">
        <v>25</v>
      </c>
      <c r="AD194" s="1" t="s">
        <v>66</v>
      </c>
      <c r="AE194" s="1">
        <v>10</v>
      </c>
      <c r="AH194" s="1">
        <v>0.56224354122340503</v>
      </c>
      <c r="AJ194" s="1">
        <f t="shared" si="27"/>
        <v>0.43775645877659497</v>
      </c>
      <c r="AK194" s="1">
        <f t="shared" si="26"/>
        <v>-0.82609255343822618</v>
      </c>
      <c r="AM194">
        <v>25</v>
      </c>
      <c r="AN194">
        <f>IF(ISNUMBER(AJ194),IF(AJ194&gt;=0.05,1,0),"")</f>
        <v>1</v>
      </c>
      <c r="AO194">
        <f>IF(ISNUMBER(AJ194),IF(AJ194&lt;0.005,1,0),"")</f>
        <v>0</v>
      </c>
      <c r="AQ194" s="34"/>
      <c r="AR194" s="35"/>
      <c r="AS194" s="36"/>
    </row>
    <row r="195" spans="1:45" ht="42.75" x14ac:dyDescent="0.45">
      <c r="A195" s="1" t="s">
        <v>68</v>
      </c>
      <c r="B195" s="1" t="s">
        <v>65</v>
      </c>
      <c r="C195" s="1">
        <v>106</v>
      </c>
      <c r="D195" s="1">
        <v>250.28</v>
      </c>
      <c r="E195" s="1">
        <v>-0.1</v>
      </c>
      <c r="F195" s="1">
        <v>1.57</v>
      </c>
      <c r="G195" s="1">
        <v>1.93</v>
      </c>
      <c r="H195" s="1">
        <v>0.87</v>
      </c>
      <c r="I195" s="1">
        <v>0.86</v>
      </c>
      <c r="J195" s="1">
        <v>1.49</v>
      </c>
      <c r="K195" s="1" t="s">
        <v>54</v>
      </c>
      <c r="M195" s="1">
        <v>0.45</v>
      </c>
      <c r="N195" s="1">
        <v>5.17</v>
      </c>
      <c r="P195" s="1">
        <v>7.8</v>
      </c>
      <c r="Q195" s="1">
        <v>33.5</v>
      </c>
      <c r="R195" s="1" t="s">
        <v>63</v>
      </c>
      <c r="S195" s="1">
        <v>307.27999999999997</v>
      </c>
      <c r="T195" s="1">
        <v>377</v>
      </c>
      <c r="U195" s="1">
        <v>1.82</v>
      </c>
      <c r="V195" s="1">
        <v>9.4</v>
      </c>
      <c r="W195" s="1">
        <v>0.1</v>
      </c>
      <c r="X195" s="1">
        <f t="shared" si="22"/>
        <v>100</v>
      </c>
      <c r="Y195" s="1">
        <v>3.3000000000000002E-2</v>
      </c>
      <c r="Z195" s="1">
        <v>8.0000000000000002E-3</v>
      </c>
      <c r="AA195" s="1">
        <v>0</v>
      </c>
      <c r="AB195" s="1">
        <v>6.8</v>
      </c>
      <c r="AC195" s="1">
        <v>25</v>
      </c>
      <c r="AD195" s="1" t="s">
        <v>66</v>
      </c>
      <c r="AE195" s="1">
        <v>10</v>
      </c>
      <c r="AH195" s="1">
        <v>0</v>
      </c>
      <c r="AI195" s="1">
        <f>-AK204/AA204</f>
        <v>8.8310199997984982E-3</v>
      </c>
      <c r="AJ195" s="1">
        <f t="shared" ref="AJ195" si="33">1-AH195</f>
        <v>1</v>
      </c>
      <c r="AK195" s="1">
        <f t="shared" si="26"/>
        <v>0</v>
      </c>
      <c r="AL195" s="1">
        <v>8.0399760152127502E-3</v>
      </c>
      <c r="AM195">
        <v>26</v>
      </c>
      <c r="AN195">
        <f>IF(ISNUMBER(AJ195),IF(AJ195&gt;=0.05,1,0),"")</f>
        <v>1</v>
      </c>
      <c r="AO195">
        <f>IF(ISNUMBER(AJ195),IF(AJ195&lt;0.005,1,0),"")</f>
        <v>0</v>
      </c>
      <c r="AP195">
        <f>IFERROR(MATCH(0,AN195:AN204,0)-1,10)</f>
        <v>10</v>
      </c>
      <c r="AQ195" s="34">
        <f>IF(AP195&lt;3,"n&lt;3",IFERROR(-SLOPE(AK195:INDEX(AK195:AK204,AP195),AA195:INDEX(AA195:AA204,AP195)),"no fit"))</f>
        <v>9.0612725931856191E-3</v>
      </c>
      <c r="AR195" s="35">
        <f>IF(AP195&lt;3,"",IFERROR(RSQ(AK195:INDEX(AK195:AK204,AP195),AA195:INDEX(AA195:AA204,AP195)),"flat"))</f>
        <v>0.97569024655739189</v>
      </c>
      <c r="AS195" s="36">
        <f>IFERROR(AQ195/AI195,"")</f>
        <v>1.0260731595435606</v>
      </c>
    </row>
    <row r="196" spans="1:45" ht="42.75" x14ac:dyDescent="0.45">
      <c r="A196" s="1" t="s">
        <v>68</v>
      </c>
      <c r="B196" s="1" t="s">
        <v>65</v>
      </c>
      <c r="C196" s="1">
        <v>106</v>
      </c>
      <c r="D196" s="1">
        <v>250.28</v>
      </c>
      <c r="E196" s="1">
        <v>-0.1</v>
      </c>
      <c r="F196" s="1">
        <v>1.57</v>
      </c>
      <c r="G196" s="1">
        <v>1.93</v>
      </c>
      <c r="H196" s="1">
        <v>0.87</v>
      </c>
      <c r="I196" s="1">
        <v>0.86</v>
      </c>
      <c r="J196" s="1">
        <v>1.49</v>
      </c>
      <c r="K196" s="1" t="s">
        <v>54</v>
      </c>
      <c r="M196" s="1">
        <v>0.45</v>
      </c>
      <c r="N196" s="1">
        <v>5.17</v>
      </c>
      <c r="P196" s="1">
        <v>7.8</v>
      </c>
      <c r="Q196" s="1">
        <v>33.5</v>
      </c>
      <c r="R196" s="1" t="s">
        <v>63</v>
      </c>
      <c r="S196" s="1">
        <v>307.27999999999997</v>
      </c>
      <c r="T196" s="1">
        <v>377</v>
      </c>
      <c r="U196" s="1">
        <v>1.82</v>
      </c>
      <c r="V196" s="1">
        <v>9.4</v>
      </c>
      <c r="W196" s="1">
        <v>0.1</v>
      </c>
      <c r="X196" s="1">
        <f t="shared" ref="X196:X259" si="34">W196*1000</f>
        <v>100</v>
      </c>
      <c r="Y196" s="1">
        <v>3.3000000000000002E-2</v>
      </c>
      <c r="Z196" s="1">
        <v>8.0000000000000002E-3</v>
      </c>
      <c r="AA196" s="1">
        <v>1.2166560937499999</v>
      </c>
      <c r="AB196" s="1">
        <v>6.8</v>
      </c>
      <c r="AC196" s="1">
        <v>25</v>
      </c>
      <c r="AD196" s="1" t="s">
        <v>66</v>
      </c>
      <c r="AE196" s="1">
        <v>10</v>
      </c>
      <c r="AH196" s="1">
        <v>4.0146569148936995E-2</v>
      </c>
      <c r="AJ196" s="1">
        <f t="shared" si="27"/>
        <v>0.95985343085106301</v>
      </c>
      <c r="AK196" s="1">
        <f t="shared" si="26"/>
        <v>-4.0974682373261469E-2</v>
      </c>
      <c r="AM196">
        <v>26</v>
      </c>
      <c r="AN196">
        <f>IF(ISNUMBER(AJ196),IF(AJ196&gt;=0.05,1,0),"")</f>
        <v>1</v>
      </c>
      <c r="AO196">
        <f>IF(ISNUMBER(AJ196),IF(AJ196&lt;0.005,1,0),"")</f>
        <v>0</v>
      </c>
      <c r="AQ196" s="34"/>
      <c r="AR196" s="35"/>
      <c r="AS196" s="36"/>
    </row>
    <row r="197" spans="1:45" ht="42.75" x14ac:dyDescent="0.45">
      <c r="A197" s="1" t="s">
        <v>68</v>
      </c>
      <c r="B197" s="1" t="s">
        <v>65</v>
      </c>
      <c r="C197" s="1">
        <v>106</v>
      </c>
      <c r="D197" s="1">
        <v>250.28</v>
      </c>
      <c r="E197" s="1">
        <v>-0.1</v>
      </c>
      <c r="F197" s="1">
        <v>1.57</v>
      </c>
      <c r="G197" s="1">
        <v>1.93</v>
      </c>
      <c r="H197" s="1">
        <v>0.87</v>
      </c>
      <c r="I197" s="1">
        <v>0.86</v>
      </c>
      <c r="J197" s="1">
        <v>1.49</v>
      </c>
      <c r="K197" s="1" t="s">
        <v>54</v>
      </c>
      <c r="M197" s="1">
        <v>0.45</v>
      </c>
      <c r="N197" s="1">
        <v>5.17</v>
      </c>
      <c r="P197" s="1">
        <v>7.8</v>
      </c>
      <c r="Q197" s="1">
        <v>33.5</v>
      </c>
      <c r="R197" s="1" t="s">
        <v>63</v>
      </c>
      <c r="S197" s="1">
        <v>307.27999999999997</v>
      </c>
      <c r="T197" s="1">
        <v>377</v>
      </c>
      <c r="U197" s="1">
        <v>1.82</v>
      </c>
      <c r="V197" s="1">
        <v>9.4</v>
      </c>
      <c r="W197" s="1">
        <v>0.1</v>
      </c>
      <c r="X197" s="1">
        <f t="shared" si="34"/>
        <v>100</v>
      </c>
      <c r="Y197" s="1">
        <v>3.3000000000000002E-2</v>
      </c>
      <c r="Z197" s="1">
        <v>8.0000000000000002E-3</v>
      </c>
      <c r="AA197" s="1">
        <v>3.22801328125</v>
      </c>
      <c r="AB197" s="1">
        <v>6.8</v>
      </c>
      <c r="AC197" s="1">
        <v>25</v>
      </c>
      <c r="AD197" s="1" t="s">
        <v>66</v>
      </c>
      <c r="AE197" s="1">
        <v>10</v>
      </c>
      <c r="AH197" s="1">
        <v>4.5852546985816978E-2</v>
      </c>
      <c r="AJ197" s="1">
        <f t="shared" si="27"/>
        <v>0.95414745301418302</v>
      </c>
      <c r="AK197" s="1">
        <f t="shared" si="26"/>
        <v>-4.6937056569517445E-2</v>
      </c>
      <c r="AM197">
        <v>26</v>
      </c>
      <c r="AN197">
        <f>IF(ISNUMBER(AJ197),IF(AJ197&gt;=0.05,1,0),"")</f>
        <v>1</v>
      </c>
      <c r="AO197">
        <f>IF(ISNUMBER(AJ197),IF(AJ197&lt;0.005,1,0),"")</f>
        <v>0</v>
      </c>
      <c r="AQ197" s="34"/>
      <c r="AR197" s="35"/>
      <c r="AS197" s="36"/>
    </row>
    <row r="198" spans="1:45" ht="42.75" x14ac:dyDescent="0.45">
      <c r="A198" s="1" t="s">
        <v>68</v>
      </c>
      <c r="B198" s="1" t="s">
        <v>65</v>
      </c>
      <c r="C198" s="1">
        <v>106</v>
      </c>
      <c r="D198" s="1">
        <v>250.28</v>
      </c>
      <c r="E198" s="1">
        <v>-0.1</v>
      </c>
      <c r="F198" s="1">
        <v>1.57</v>
      </c>
      <c r="G198" s="1">
        <v>1.93</v>
      </c>
      <c r="H198" s="1">
        <v>0.87</v>
      </c>
      <c r="I198" s="1">
        <v>0.86</v>
      </c>
      <c r="J198" s="1">
        <v>1.49</v>
      </c>
      <c r="K198" s="1" t="s">
        <v>54</v>
      </c>
      <c r="M198" s="1">
        <v>0.45</v>
      </c>
      <c r="N198" s="1">
        <v>5.17</v>
      </c>
      <c r="P198" s="1">
        <v>7.8</v>
      </c>
      <c r="Q198" s="1">
        <v>33.5</v>
      </c>
      <c r="R198" s="1" t="s">
        <v>63</v>
      </c>
      <c r="S198" s="1">
        <v>307.27999999999997</v>
      </c>
      <c r="T198" s="1">
        <v>377</v>
      </c>
      <c r="U198" s="1">
        <v>1.82</v>
      </c>
      <c r="V198" s="1">
        <v>9.4</v>
      </c>
      <c r="W198" s="1">
        <v>0.1</v>
      </c>
      <c r="X198" s="1">
        <f t="shared" si="34"/>
        <v>100</v>
      </c>
      <c r="Y198" s="1">
        <v>3.3000000000000002E-2</v>
      </c>
      <c r="Z198" s="1">
        <v>8.0000000000000002E-3</v>
      </c>
      <c r="AA198" s="1">
        <v>6.0774359635416699</v>
      </c>
      <c r="AB198" s="1">
        <v>6.8</v>
      </c>
      <c r="AC198" s="1">
        <v>25</v>
      </c>
      <c r="AD198" s="1" t="s">
        <v>66</v>
      </c>
      <c r="AE198" s="1">
        <v>10</v>
      </c>
      <c r="AH198" s="1">
        <v>6.5823469414895031E-2</v>
      </c>
      <c r="AJ198" s="1">
        <f t="shared" si="27"/>
        <v>0.93417653058510497</v>
      </c>
      <c r="AK198" s="1">
        <f t="shared" si="26"/>
        <v>-6.8089853703366024E-2</v>
      </c>
      <c r="AM198">
        <v>26</v>
      </c>
      <c r="AN198">
        <f>IF(ISNUMBER(AJ198),IF(AJ198&gt;=0.05,1,0),"")</f>
        <v>1</v>
      </c>
      <c r="AO198">
        <f>IF(ISNUMBER(AJ198),IF(AJ198&lt;0.005,1,0),"")</f>
        <v>0</v>
      </c>
      <c r="AQ198" s="34"/>
      <c r="AR198" s="35"/>
      <c r="AS198" s="36"/>
    </row>
    <row r="199" spans="1:45" ht="42.75" x14ac:dyDescent="0.45">
      <c r="A199" s="1" t="s">
        <v>68</v>
      </c>
      <c r="B199" s="1" t="s">
        <v>65</v>
      </c>
      <c r="C199" s="1">
        <v>106</v>
      </c>
      <c r="D199" s="1">
        <v>250.28</v>
      </c>
      <c r="E199" s="1">
        <v>-0.1</v>
      </c>
      <c r="F199" s="1">
        <v>1.57</v>
      </c>
      <c r="G199" s="1">
        <v>1.93</v>
      </c>
      <c r="H199" s="1">
        <v>0.87</v>
      </c>
      <c r="I199" s="1">
        <v>0.86</v>
      </c>
      <c r="J199" s="1">
        <v>1.49</v>
      </c>
      <c r="K199" s="1" t="s">
        <v>54</v>
      </c>
      <c r="M199" s="1">
        <v>0.45</v>
      </c>
      <c r="N199" s="1">
        <v>5.17</v>
      </c>
      <c r="P199" s="1">
        <v>7.8</v>
      </c>
      <c r="Q199" s="1">
        <v>33.5</v>
      </c>
      <c r="R199" s="1" t="s">
        <v>63</v>
      </c>
      <c r="S199" s="1">
        <v>307.27999999999997</v>
      </c>
      <c r="T199" s="1">
        <v>377</v>
      </c>
      <c r="U199" s="1">
        <v>1.82</v>
      </c>
      <c r="V199" s="1">
        <v>9.4</v>
      </c>
      <c r="W199" s="1">
        <v>0.1</v>
      </c>
      <c r="X199" s="1">
        <f t="shared" si="34"/>
        <v>100</v>
      </c>
      <c r="Y199" s="1">
        <v>3.3000000000000002E-2</v>
      </c>
      <c r="Z199" s="1">
        <v>8.0000000000000002E-3</v>
      </c>
      <c r="AA199" s="1">
        <v>9.0106651953124999</v>
      </c>
      <c r="AB199" s="1">
        <v>6.8</v>
      </c>
      <c r="AC199" s="1">
        <v>25</v>
      </c>
      <c r="AD199" s="1" t="s">
        <v>66</v>
      </c>
      <c r="AE199" s="1">
        <v>10</v>
      </c>
      <c r="AH199" s="1">
        <v>9.4353358599291948E-2</v>
      </c>
      <c r="AJ199" s="1">
        <f t="shared" si="27"/>
        <v>0.90564664140070805</v>
      </c>
      <c r="AK199" s="1">
        <f t="shared" si="26"/>
        <v>-9.9106069545965972E-2</v>
      </c>
      <c r="AM199">
        <v>26</v>
      </c>
      <c r="AN199">
        <f>IF(ISNUMBER(AJ199),IF(AJ199&gt;=0.05,1,0),"")</f>
        <v>1</v>
      </c>
      <c r="AO199">
        <f>IF(ISNUMBER(AJ199),IF(AJ199&lt;0.005,1,0),"")</f>
        <v>0</v>
      </c>
      <c r="AQ199" s="34"/>
      <c r="AR199" s="35"/>
      <c r="AS199" s="36"/>
    </row>
    <row r="200" spans="1:45" ht="42.75" x14ac:dyDescent="0.45">
      <c r="A200" s="1" t="s">
        <v>68</v>
      </c>
      <c r="B200" s="1" t="s">
        <v>65</v>
      </c>
      <c r="C200" s="1">
        <v>106</v>
      </c>
      <c r="D200" s="1">
        <v>250.28</v>
      </c>
      <c r="E200" s="1">
        <v>-0.1</v>
      </c>
      <c r="F200" s="1">
        <v>1.57</v>
      </c>
      <c r="G200" s="1">
        <v>1.93</v>
      </c>
      <c r="H200" s="1">
        <v>0.87</v>
      </c>
      <c r="I200" s="1">
        <v>0.86</v>
      </c>
      <c r="J200" s="1">
        <v>1.49</v>
      </c>
      <c r="K200" s="1" t="s">
        <v>54</v>
      </c>
      <c r="M200" s="1">
        <v>0.45</v>
      </c>
      <c r="N200" s="1">
        <v>5.17</v>
      </c>
      <c r="P200" s="1">
        <v>7.8</v>
      </c>
      <c r="Q200" s="1">
        <v>33.5</v>
      </c>
      <c r="R200" s="1" t="s">
        <v>63</v>
      </c>
      <c r="S200" s="1">
        <v>307.27999999999997</v>
      </c>
      <c r="T200" s="1">
        <v>377</v>
      </c>
      <c r="U200" s="1">
        <v>1.82</v>
      </c>
      <c r="V200" s="1">
        <v>9.4</v>
      </c>
      <c r="W200" s="1">
        <v>0.1</v>
      </c>
      <c r="X200" s="1">
        <f t="shared" si="34"/>
        <v>100</v>
      </c>
      <c r="Y200" s="1">
        <v>3.3000000000000002E-2</v>
      </c>
      <c r="Z200" s="1">
        <v>8.0000000000000002E-3</v>
      </c>
      <c r="AA200" s="1">
        <v>12.1953140755208</v>
      </c>
      <c r="AB200" s="1">
        <v>6.8</v>
      </c>
      <c r="AC200" s="1">
        <v>25</v>
      </c>
      <c r="AD200" s="1" t="s">
        <v>66</v>
      </c>
      <c r="AE200" s="1">
        <v>10</v>
      </c>
      <c r="AH200" s="1">
        <v>0.13714819237588705</v>
      </c>
      <c r="AJ200" s="1">
        <f t="shared" si="27"/>
        <v>0.86285180762411295</v>
      </c>
      <c r="AK200" s="1">
        <f t="shared" si="26"/>
        <v>-0.14751232034479353</v>
      </c>
      <c r="AM200">
        <v>26</v>
      </c>
      <c r="AN200">
        <f>IF(ISNUMBER(AJ200),IF(AJ200&gt;=0.05,1,0),"")</f>
        <v>1</v>
      </c>
      <c r="AO200">
        <f>IF(ISNUMBER(AJ200),IF(AJ200&lt;0.005,1,0),"")</f>
        <v>0</v>
      </c>
      <c r="AQ200" s="34"/>
      <c r="AR200" s="35"/>
      <c r="AS200" s="36"/>
    </row>
    <row r="201" spans="1:45" ht="42.75" x14ac:dyDescent="0.45">
      <c r="A201" s="1" t="s">
        <v>68</v>
      </c>
      <c r="B201" s="1" t="s">
        <v>65</v>
      </c>
      <c r="C201" s="1">
        <v>106</v>
      </c>
      <c r="D201" s="1">
        <v>250.28</v>
      </c>
      <c r="E201" s="1">
        <v>-0.1</v>
      </c>
      <c r="F201" s="1">
        <v>1.57</v>
      </c>
      <c r="G201" s="1">
        <v>1.93</v>
      </c>
      <c r="H201" s="1">
        <v>0.87</v>
      </c>
      <c r="I201" s="1">
        <v>0.86</v>
      </c>
      <c r="J201" s="1">
        <v>1.49</v>
      </c>
      <c r="K201" s="1" t="s">
        <v>54</v>
      </c>
      <c r="M201" s="1">
        <v>0.45</v>
      </c>
      <c r="N201" s="1">
        <v>5.17</v>
      </c>
      <c r="P201" s="1">
        <v>7.8</v>
      </c>
      <c r="Q201" s="1">
        <v>33.5</v>
      </c>
      <c r="R201" s="1" t="s">
        <v>63</v>
      </c>
      <c r="S201" s="1">
        <v>307.27999999999997</v>
      </c>
      <c r="T201" s="1">
        <v>377</v>
      </c>
      <c r="U201" s="1">
        <v>1.82</v>
      </c>
      <c r="V201" s="1">
        <v>9.4</v>
      </c>
      <c r="W201" s="1">
        <v>0.1</v>
      </c>
      <c r="X201" s="1">
        <f t="shared" si="34"/>
        <v>100</v>
      </c>
      <c r="Y201" s="1">
        <v>3.3000000000000002E-2</v>
      </c>
      <c r="Z201" s="1">
        <v>8.0000000000000002E-3</v>
      </c>
      <c r="AA201" s="1">
        <v>15.9666088020833</v>
      </c>
      <c r="AB201" s="1">
        <v>6.8</v>
      </c>
      <c r="AC201" s="1">
        <v>25</v>
      </c>
      <c r="AD201" s="1" t="s">
        <v>66</v>
      </c>
      <c r="AE201" s="1">
        <v>10</v>
      </c>
      <c r="AH201" s="1">
        <v>0.16853107047872395</v>
      </c>
      <c r="AJ201" s="1">
        <f t="shared" si="27"/>
        <v>0.83146892952127605</v>
      </c>
      <c r="AK201" s="1">
        <f t="shared" si="26"/>
        <v>-0.18456134782869804</v>
      </c>
      <c r="AM201">
        <v>26</v>
      </c>
      <c r="AN201">
        <f>IF(ISNUMBER(AJ201),IF(AJ201&gt;=0.05,1,0),"")</f>
        <v>1</v>
      </c>
      <c r="AO201">
        <f>IF(ISNUMBER(AJ201),IF(AJ201&lt;0.005,1,0),"")</f>
        <v>0</v>
      </c>
      <c r="AQ201" s="34"/>
      <c r="AR201" s="35"/>
      <c r="AS201" s="36"/>
    </row>
    <row r="202" spans="1:45" ht="42.75" x14ac:dyDescent="0.45">
      <c r="A202" s="1" t="s">
        <v>68</v>
      </c>
      <c r="B202" s="1" t="s">
        <v>65</v>
      </c>
      <c r="C202" s="1">
        <v>106</v>
      </c>
      <c r="D202" s="1">
        <v>250.28</v>
      </c>
      <c r="E202" s="1">
        <v>-0.1</v>
      </c>
      <c r="F202" s="1">
        <v>1.57</v>
      </c>
      <c r="G202" s="1">
        <v>1.93</v>
      </c>
      <c r="H202" s="1">
        <v>0.87</v>
      </c>
      <c r="I202" s="1">
        <v>0.86</v>
      </c>
      <c r="J202" s="1">
        <v>1.49</v>
      </c>
      <c r="K202" s="1" t="s">
        <v>54</v>
      </c>
      <c r="M202" s="1">
        <v>0.45</v>
      </c>
      <c r="N202" s="1">
        <v>5.17</v>
      </c>
      <c r="P202" s="1">
        <v>7.8</v>
      </c>
      <c r="Q202" s="1">
        <v>33.5</v>
      </c>
      <c r="R202" s="1" t="s">
        <v>63</v>
      </c>
      <c r="S202" s="1">
        <v>307.27999999999997</v>
      </c>
      <c r="T202" s="1">
        <v>377</v>
      </c>
      <c r="U202" s="1">
        <v>1.82</v>
      </c>
      <c r="V202" s="1">
        <v>9.4</v>
      </c>
      <c r="W202" s="1">
        <v>0.1</v>
      </c>
      <c r="X202" s="1">
        <f t="shared" si="34"/>
        <v>100</v>
      </c>
      <c r="Y202" s="1">
        <v>3.3000000000000002E-2</v>
      </c>
      <c r="Z202" s="1">
        <v>8.0000000000000002E-3</v>
      </c>
      <c r="AA202" s="1">
        <v>19.737903528645798</v>
      </c>
      <c r="AB202" s="1">
        <v>6.8</v>
      </c>
      <c r="AC202" s="1">
        <v>25</v>
      </c>
      <c r="AD202" s="1" t="s">
        <v>66</v>
      </c>
      <c r="AE202" s="1">
        <v>10</v>
      </c>
      <c r="AH202" s="1">
        <v>0.19991394858156097</v>
      </c>
      <c r="AJ202" s="1">
        <f t="shared" si="27"/>
        <v>0.80008605141843903</v>
      </c>
      <c r="AK202" s="1">
        <f t="shared" si="26"/>
        <v>-0.22303599282578257</v>
      </c>
      <c r="AM202">
        <v>26</v>
      </c>
      <c r="AN202">
        <f>IF(ISNUMBER(AJ202),IF(AJ202&gt;=0.05,1,0),"")</f>
        <v>1</v>
      </c>
      <c r="AO202">
        <f>IF(ISNUMBER(AJ202),IF(AJ202&lt;0.005,1,0),"")</f>
        <v>0</v>
      </c>
      <c r="AQ202" s="34"/>
      <c r="AR202" s="35"/>
      <c r="AS202" s="36"/>
    </row>
    <row r="203" spans="1:45" ht="42.75" x14ac:dyDescent="0.45">
      <c r="A203" s="1" t="s">
        <v>68</v>
      </c>
      <c r="B203" s="1" t="s">
        <v>65</v>
      </c>
      <c r="C203" s="1">
        <v>106</v>
      </c>
      <c r="D203" s="1">
        <v>250.28</v>
      </c>
      <c r="E203" s="1">
        <v>-0.1</v>
      </c>
      <c r="F203" s="1">
        <v>1.57</v>
      </c>
      <c r="G203" s="1">
        <v>1.93</v>
      </c>
      <c r="H203" s="1">
        <v>0.87</v>
      </c>
      <c r="I203" s="1">
        <v>0.86</v>
      </c>
      <c r="J203" s="1">
        <v>1.49</v>
      </c>
      <c r="K203" s="1" t="s">
        <v>54</v>
      </c>
      <c r="M203" s="1">
        <v>0.45</v>
      </c>
      <c r="N203" s="1">
        <v>5.17</v>
      </c>
      <c r="P203" s="1">
        <v>7.8</v>
      </c>
      <c r="Q203" s="1">
        <v>33.5</v>
      </c>
      <c r="R203" s="1" t="s">
        <v>63</v>
      </c>
      <c r="S203" s="1">
        <v>307.27999999999997</v>
      </c>
      <c r="T203" s="1">
        <v>377</v>
      </c>
      <c r="U203" s="1">
        <v>1.82</v>
      </c>
      <c r="V203" s="1">
        <v>9.4</v>
      </c>
      <c r="W203" s="1">
        <v>0.1</v>
      </c>
      <c r="X203" s="1">
        <f t="shared" si="34"/>
        <v>100</v>
      </c>
      <c r="Y203" s="1">
        <v>3.3000000000000002E-2</v>
      </c>
      <c r="Z203" s="1">
        <v>8.0000000000000002E-3</v>
      </c>
      <c r="AA203" s="1">
        <v>29.459463268229101</v>
      </c>
      <c r="AB203" s="1">
        <v>6.8</v>
      </c>
      <c r="AC203" s="1">
        <v>25</v>
      </c>
      <c r="AD203" s="1" t="s">
        <v>66</v>
      </c>
      <c r="AE203" s="1">
        <v>10</v>
      </c>
      <c r="AH203" s="1">
        <v>0.265532693705675</v>
      </c>
      <c r="AJ203" s="1">
        <f t="shared" si="27"/>
        <v>0.734467306294325</v>
      </c>
      <c r="AK203" s="1">
        <f t="shared" si="26"/>
        <v>-0.30860979587102294</v>
      </c>
      <c r="AM203">
        <v>26</v>
      </c>
      <c r="AN203">
        <f>IF(ISNUMBER(AJ203),IF(AJ203&gt;=0.05,1,0),"")</f>
        <v>1</v>
      </c>
      <c r="AO203">
        <f>IF(ISNUMBER(AJ203),IF(AJ203&lt;0.005,1,0),"")</f>
        <v>0</v>
      </c>
      <c r="AQ203" s="34"/>
      <c r="AR203" s="35"/>
      <c r="AS203" s="36"/>
    </row>
    <row r="204" spans="1:45" ht="42.75" x14ac:dyDescent="0.45">
      <c r="A204" s="1" t="s">
        <v>68</v>
      </c>
      <c r="B204" s="1" t="s">
        <v>65</v>
      </c>
      <c r="C204" s="1">
        <v>106</v>
      </c>
      <c r="D204" s="1">
        <v>250.28</v>
      </c>
      <c r="E204" s="1">
        <v>-0.1</v>
      </c>
      <c r="F204" s="1">
        <v>1.57</v>
      </c>
      <c r="G204" s="1">
        <v>1.93</v>
      </c>
      <c r="H204" s="1">
        <v>0.87</v>
      </c>
      <c r="I204" s="1">
        <v>0.86</v>
      </c>
      <c r="J204" s="1">
        <v>1.49</v>
      </c>
      <c r="K204" s="1" t="s">
        <v>54</v>
      </c>
      <c r="M204" s="1">
        <v>0.45</v>
      </c>
      <c r="N204" s="1">
        <v>5.17</v>
      </c>
      <c r="P204" s="1">
        <v>7.8</v>
      </c>
      <c r="Q204" s="1">
        <v>33.5</v>
      </c>
      <c r="R204" s="1" t="s">
        <v>63</v>
      </c>
      <c r="S204" s="1">
        <v>307.27999999999997</v>
      </c>
      <c r="T204" s="1">
        <v>377</v>
      </c>
      <c r="U204" s="1">
        <v>1.82</v>
      </c>
      <c r="V204" s="1">
        <v>9.4</v>
      </c>
      <c r="W204" s="1">
        <v>0.1</v>
      </c>
      <c r="X204" s="1">
        <f t="shared" si="34"/>
        <v>100</v>
      </c>
      <c r="Y204" s="1">
        <v>3.3000000000000002E-2</v>
      </c>
      <c r="Z204" s="1">
        <v>8.0000000000000002E-3</v>
      </c>
      <c r="AA204" s="1">
        <v>39.432442656249897</v>
      </c>
      <c r="AB204" s="1">
        <v>6.8</v>
      </c>
      <c r="AC204" s="1">
        <v>25</v>
      </c>
      <c r="AD204" s="1" t="s">
        <v>66</v>
      </c>
      <c r="AE204" s="1">
        <v>10</v>
      </c>
      <c r="AH204" s="1">
        <v>0.29406258289007203</v>
      </c>
      <c r="AJ204" s="1">
        <f t="shared" si="27"/>
        <v>0.70593741710992797</v>
      </c>
      <c r="AK204" s="1">
        <f t="shared" si="26"/>
        <v>-0.34822868973825027</v>
      </c>
      <c r="AM204">
        <v>26</v>
      </c>
      <c r="AN204">
        <f>IF(ISNUMBER(AJ204),IF(AJ204&gt;=0.05,1,0),"")</f>
        <v>1</v>
      </c>
      <c r="AO204">
        <f>IF(ISNUMBER(AJ204),IF(AJ204&lt;0.005,1,0),"")</f>
        <v>0</v>
      </c>
      <c r="AQ204" s="34"/>
      <c r="AR204" s="35"/>
      <c r="AS204" s="36"/>
    </row>
    <row r="205" spans="1:45" ht="42.75" x14ac:dyDescent="0.45">
      <c r="A205" s="1" t="s">
        <v>68</v>
      </c>
      <c r="B205" s="1" t="s">
        <v>65</v>
      </c>
      <c r="C205" s="1">
        <v>106</v>
      </c>
      <c r="D205" s="1">
        <v>250.28</v>
      </c>
      <c r="E205" s="1">
        <v>-0.1</v>
      </c>
      <c r="F205" s="1">
        <v>1.57</v>
      </c>
      <c r="G205" s="1">
        <v>1.93</v>
      </c>
      <c r="H205" s="1">
        <v>0.87</v>
      </c>
      <c r="I205" s="1">
        <v>0.86</v>
      </c>
      <c r="J205" s="1">
        <v>1.49</v>
      </c>
      <c r="K205" s="1" t="s">
        <v>67</v>
      </c>
      <c r="M205" s="1">
        <v>0.42</v>
      </c>
      <c r="N205" s="1">
        <v>1.1499999999999999</v>
      </c>
      <c r="P205" s="1">
        <v>7.2</v>
      </c>
      <c r="Q205" s="1">
        <v>35.5</v>
      </c>
      <c r="R205" s="1" t="s">
        <v>63</v>
      </c>
      <c r="S205" s="1">
        <v>307.27999999999997</v>
      </c>
      <c r="T205" s="1">
        <v>377</v>
      </c>
      <c r="U205" s="1">
        <v>1.82</v>
      </c>
      <c r="V205" s="1">
        <v>9.4</v>
      </c>
      <c r="W205" s="1">
        <v>0.1</v>
      </c>
      <c r="X205" s="1">
        <f t="shared" si="34"/>
        <v>100</v>
      </c>
      <c r="Y205" s="1">
        <v>3.3000000000000002E-2</v>
      </c>
      <c r="Z205" s="1">
        <v>8.0000000000000002E-3</v>
      </c>
      <c r="AA205" s="1">
        <v>0</v>
      </c>
      <c r="AB205" s="1">
        <v>6.8</v>
      </c>
      <c r="AC205" s="1">
        <v>25</v>
      </c>
      <c r="AD205" s="1" t="s">
        <v>66</v>
      </c>
      <c r="AE205" s="1">
        <v>10</v>
      </c>
      <c r="AH205" s="1">
        <v>0</v>
      </c>
      <c r="AI205" s="1">
        <f>-AK214/AA214</f>
        <v>0.40962272765309909</v>
      </c>
      <c r="AJ205" s="1">
        <f t="shared" ref="AJ205" si="35">1-AH205</f>
        <v>1</v>
      </c>
      <c r="AK205" s="1">
        <f t="shared" si="26"/>
        <v>0</v>
      </c>
      <c r="AL205" s="1">
        <v>0.41473820423313301</v>
      </c>
      <c r="AM205">
        <v>27</v>
      </c>
      <c r="AN205">
        <f>IF(ISNUMBER(AJ205),IF(AJ205&gt;=0.05,1,0),"")</f>
        <v>1</v>
      </c>
      <c r="AO205">
        <f>IF(ISNUMBER(AJ205),IF(AJ205&lt;0.005,1,0),"")</f>
        <v>0</v>
      </c>
      <c r="AP205">
        <f>IFERROR(MATCH(0,AN205:AN214,0)-1,10)</f>
        <v>7</v>
      </c>
      <c r="AQ205" s="34">
        <f>IF(AP205&lt;3,"n&lt;3",IFERROR(-SLOPE(AK205:INDEX(AK205:AK214,AP205),AA205:INDEX(AA205:AA214,AP205)),"no fit"))</f>
        <v>0.14555664810044588</v>
      </c>
      <c r="AR205" s="35">
        <f>IF(AP205&lt;3,"",IFERROR(RSQ(AK205:INDEX(AK205:AK214,AP205),AA205:INDEX(AA205:AA214,AP205)),"flat"))</f>
        <v>0.92788515846266151</v>
      </c>
      <c r="AS205" s="36">
        <f>IFERROR(AQ205/AI205,"")</f>
        <v>0.35534319331937742</v>
      </c>
    </row>
    <row r="206" spans="1:45" ht="42.75" x14ac:dyDescent="0.45">
      <c r="A206" s="1" t="s">
        <v>68</v>
      </c>
      <c r="B206" s="1" t="s">
        <v>65</v>
      </c>
      <c r="C206" s="1">
        <v>106</v>
      </c>
      <c r="D206" s="1">
        <v>250.28</v>
      </c>
      <c r="E206" s="1">
        <v>-0.1</v>
      </c>
      <c r="F206" s="1">
        <v>1.57</v>
      </c>
      <c r="G206" s="1">
        <v>1.93</v>
      </c>
      <c r="H206" s="1">
        <v>0.87</v>
      </c>
      <c r="I206" s="1">
        <v>0.86</v>
      </c>
      <c r="J206" s="1">
        <v>1.49</v>
      </c>
      <c r="K206" s="1" t="s">
        <v>67</v>
      </c>
      <c r="M206" s="1">
        <v>0.42</v>
      </c>
      <c r="N206" s="1">
        <v>1.1499999999999999</v>
      </c>
      <c r="P206" s="1">
        <v>7.2</v>
      </c>
      <c r="Q206" s="1">
        <v>35.5</v>
      </c>
      <c r="R206" s="1" t="s">
        <v>63</v>
      </c>
      <c r="S206" s="1">
        <v>307.27999999999997</v>
      </c>
      <c r="T206" s="1">
        <v>377</v>
      </c>
      <c r="U206" s="1">
        <v>1.82</v>
      </c>
      <c r="V206" s="1">
        <v>9.4</v>
      </c>
      <c r="W206" s="1">
        <v>0.1</v>
      </c>
      <c r="X206" s="1">
        <f t="shared" si="34"/>
        <v>100</v>
      </c>
      <c r="Y206" s="1">
        <v>3.3000000000000002E-2</v>
      </c>
      <c r="Z206" s="1">
        <v>8.0000000000000002E-3</v>
      </c>
      <c r="AA206" s="1">
        <v>1.04904299479167</v>
      </c>
      <c r="AB206" s="1">
        <v>6.8</v>
      </c>
      <c r="AC206" s="1">
        <v>25</v>
      </c>
      <c r="AD206" s="1" t="s">
        <v>66</v>
      </c>
      <c r="AE206" s="1">
        <v>10</v>
      </c>
      <c r="AH206" s="1">
        <v>0.20847291533687995</v>
      </c>
      <c r="AJ206" s="1">
        <f t="shared" si="27"/>
        <v>0.79152708466312005</v>
      </c>
      <c r="AK206" s="1">
        <f t="shared" si="26"/>
        <v>-0.23379118083640815</v>
      </c>
      <c r="AM206">
        <v>27</v>
      </c>
      <c r="AN206">
        <f>IF(ISNUMBER(AJ206),IF(AJ206&gt;=0.05,1,0),"")</f>
        <v>1</v>
      </c>
      <c r="AO206">
        <f>IF(ISNUMBER(AJ206),IF(AJ206&lt;0.005,1,0),"")</f>
        <v>0</v>
      </c>
      <c r="AQ206" s="34"/>
      <c r="AR206" s="35"/>
      <c r="AS206" s="36"/>
    </row>
    <row r="207" spans="1:45" ht="42.75" x14ac:dyDescent="0.45">
      <c r="A207" s="1" t="s">
        <v>68</v>
      </c>
      <c r="B207" s="1" t="s">
        <v>65</v>
      </c>
      <c r="C207" s="1">
        <v>106</v>
      </c>
      <c r="D207" s="1">
        <v>250.28</v>
      </c>
      <c r="E207" s="1">
        <v>-0.1</v>
      </c>
      <c r="F207" s="1">
        <v>1.57</v>
      </c>
      <c r="G207" s="1">
        <v>1.93</v>
      </c>
      <c r="H207" s="1">
        <v>0.87</v>
      </c>
      <c r="I207" s="1">
        <v>0.86</v>
      </c>
      <c r="J207" s="1">
        <v>1.49</v>
      </c>
      <c r="K207" s="1" t="s">
        <v>67</v>
      </c>
      <c r="M207" s="1">
        <v>0.42</v>
      </c>
      <c r="N207" s="1">
        <v>1.1499999999999999</v>
      </c>
      <c r="P207" s="1">
        <v>7.2</v>
      </c>
      <c r="Q207" s="1">
        <v>35.5</v>
      </c>
      <c r="R207" s="1" t="s">
        <v>63</v>
      </c>
      <c r="S207" s="1">
        <v>307.27999999999997</v>
      </c>
      <c r="T207" s="1">
        <v>377</v>
      </c>
      <c r="U207" s="1">
        <v>1.82</v>
      </c>
      <c r="V207" s="1">
        <v>9.4</v>
      </c>
      <c r="W207" s="1">
        <v>0.1</v>
      </c>
      <c r="X207" s="1">
        <f t="shared" si="34"/>
        <v>100</v>
      </c>
      <c r="Y207" s="1">
        <v>3.3000000000000002E-2</v>
      </c>
      <c r="Z207" s="1">
        <v>8.0000000000000002E-3</v>
      </c>
      <c r="AA207" s="1">
        <v>3.1442067317708302</v>
      </c>
      <c r="AB207" s="1">
        <v>6.8</v>
      </c>
      <c r="AC207" s="1">
        <v>25</v>
      </c>
      <c r="AD207" s="1" t="s">
        <v>66</v>
      </c>
      <c r="AE207" s="1">
        <v>10</v>
      </c>
      <c r="AH207" s="1">
        <v>0.63642125310283792</v>
      </c>
      <c r="AJ207" s="1">
        <f t="shared" si="27"/>
        <v>0.36357874689716208</v>
      </c>
      <c r="AK207" s="1">
        <f t="shared" si="26"/>
        <v>-1.011759370265183</v>
      </c>
      <c r="AM207">
        <v>27</v>
      </c>
      <c r="AN207">
        <f>IF(ISNUMBER(AJ207),IF(AJ207&gt;=0.05,1,0),"")</f>
        <v>1</v>
      </c>
      <c r="AO207">
        <f>IF(ISNUMBER(AJ207),IF(AJ207&lt;0.005,1,0),"")</f>
        <v>0</v>
      </c>
      <c r="AQ207" s="34"/>
      <c r="AR207" s="35"/>
      <c r="AS207" s="36"/>
    </row>
    <row r="208" spans="1:45" ht="42.75" x14ac:dyDescent="0.45">
      <c r="A208" s="1" t="s">
        <v>68</v>
      </c>
      <c r="B208" s="1" t="s">
        <v>65</v>
      </c>
      <c r="C208" s="1">
        <v>106</v>
      </c>
      <c r="D208" s="1">
        <v>250.28</v>
      </c>
      <c r="E208" s="1">
        <v>-0.1</v>
      </c>
      <c r="F208" s="1">
        <v>1.57</v>
      </c>
      <c r="G208" s="1">
        <v>1.93</v>
      </c>
      <c r="H208" s="1">
        <v>0.87</v>
      </c>
      <c r="I208" s="1">
        <v>0.86</v>
      </c>
      <c r="J208" s="1">
        <v>1.49</v>
      </c>
      <c r="K208" s="1" t="s">
        <v>67</v>
      </c>
      <c r="M208" s="1">
        <v>0.42</v>
      </c>
      <c r="N208" s="1">
        <v>1.1499999999999999</v>
      </c>
      <c r="P208" s="1">
        <v>7.2</v>
      </c>
      <c r="Q208" s="1">
        <v>35.5</v>
      </c>
      <c r="R208" s="1" t="s">
        <v>63</v>
      </c>
      <c r="S208" s="1">
        <v>307.27999999999997</v>
      </c>
      <c r="T208" s="1">
        <v>377</v>
      </c>
      <c r="U208" s="1">
        <v>1.82</v>
      </c>
      <c r="V208" s="1">
        <v>9.4</v>
      </c>
      <c r="W208" s="1">
        <v>0.1</v>
      </c>
      <c r="X208" s="1">
        <f t="shared" si="34"/>
        <v>100</v>
      </c>
      <c r="Y208" s="1">
        <v>3.3000000000000002E-2</v>
      </c>
      <c r="Z208" s="1">
        <v>8.0000000000000002E-3</v>
      </c>
      <c r="AA208" s="1">
        <v>5.7422097656249997</v>
      </c>
      <c r="AB208" s="1">
        <v>6.8</v>
      </c>
      <c r="AC208" s="1">
        <v>25</v>
      </c>
      <c r="AD208" s="1" t="s">
        <v>66</v>
      </c>
      <c r="AE208" s="1">
        <v>10</v>
      </c>
      <c r="AH208" s="1">
        <v>0.75909977659574601</v>
      </c>
      <c r="AJ208" s="1">
        <f t="shared" si="27"/>
        <v>0.24090022340425399</v>
      </c>
      <c r="AK208" s="1">
        <f t="shared" si="26"/>
        <v>-1.4233724419883333</v>
      </c>
      <c r="AM208">
        <v>27</v>
      </c>
      <c r="AN208">
        <f>IF(ISNUMBER(AJ208),IF(AJ208&gt;=0.05,1,0),"")</f>
        <v>1</v>
      </c>
      <c r="AO208">
        <f>IF(ISNUMBER(AJ208),IF(AJ208&lt;0.005,1,0),"")</f>
        <v>0</v>
      </c>
      <c r="AQ208" s="34"/>
      <c r="AR208" s="35"/>
      <c r="AS208" s="36"/>
    </row>
    <row r="209" spans="1:45" ht="42.75" x14ac:dyDescent="0.45">
      <c r="A209" s="1" t="s">
        <v>68</v>
      </c>
      <c r="B209" s="1" t="s">
        <v>65</v>
      </c>
      <c r="C209" s="1">
        <v>106</v>
      </c>
      <c r="D209" s="1">
        <v>250.28</v>
      </c>
      <c r="E209" s="1">
        <v>-0.1</v>
      </c>
      <c r="F209" s="1">
        <v>1.57</v>
      </c>
      <c r="G209" s="1">
        <v>1.93</v>
      </c>
      <c r="H209" s="1">
        <v>0.87</v>
      </c>
      <c r="I209" s="1">
        <v>0.86</v>
      </c>
      <c r="J209" s="1">
        <v>1.49</v>
      </c>
      <c r="K209" s="1" t="s">
        <v>67</v>
      </c>
      <c r="M209" s="1">
        <v>0.42</v>
      </c>
      <c r="N209" s="1">
        <v>1.1499999999999999</v>
      </c>
      <c r="P209" s="1">
        <v>7.2</v>
      </c>
      <c r="Q209" s="1">
        <v>35.5</v>
      </c>
      <c r="R209" s="1" t="s">
        <v>63</v>
      </c>
      <c r="S209" s="1">
        <v>307.27999999999997</v>
      </c>
      <c r="T209" s="1">
        <v>377</v>
      </c>
      <c r="U209" s="1">
        <v>1.82</v>
      </c>
      <c r="V209" s="1">
        <v>9.4</v>
      </c>
      <c r="W209" s="1">
        <v>0.1</v>
      </c>
      <c r="X209" s="1">
        <f t="shared" si="34"/>
        <v>100</v>
      </c>
      <c r="Y209" s="1">
        <v>3.3000000000000002E-2</v>
      </c>
      <c r="Z209" s="1">
        <v>8.0000000000000002E-3</v>
      </c>
      <c r="AA209" s="1">
        <v>9.0944717447916599</v>
      </c>
      <c r="AB209" s="1">
        <v>6.8</v>
      </c>
      <c r="AC209" s="1">
        <v>25</v>
      </c>
      <c r="AD209" s="1" t="s">
        <v>66</v>
      </c>
      <c r="AE209" s="1">
        <v>10</v>
      </c>
      <c r="AH209" s="1">
        <v>0.82471852171985893</v>
      </c>
      <c r="AJ209" s="1">
        <f t="shared" si="27"/>
        <v>0.17528147828014107</v>
      </c>
      <c r="AK209" s="1">
        <f t="shared" si="26"/>
        <v>-1.7413621499095122</v>
      </c>
      <c r="AM209">
        <v>27</v>
      </c>
      <c r="AN209">
        <f>IF(ISNUMBER(AJ209),IF(AJ209&gt;=0.05,1,0),"")</f>
        <v>1</v>
      </c>
      <c r="AO209">
        <f>IF(ISNUMBER(AJ209),IF(AJ209&lt;0.005,1,0),"")</f>
        <v>0</v>
      </c>
      <c r="AQ209" s="34"/>
      <c r="AR209" s="35"/>
      <c r="AS209" s="36"/>
    </row>
    <row r="210" spans="1:45" ht="42.75" x14ac:dyDescent="0.45">
      <c r="A210" s="1" t="s">
        <v>68</v>
      </c>
      <c r="B210" s="1" t="s">
        <v>65</v>
      </c>
      <c r="C210" s="1">
        <v>106</v>
      </c>
      <c r="D210" s="1">
        <v>250.28</v>
      </c>
      <c r="E210" s="1">
        <v>-0.1</v>
      </c>
      <c r="F210" s="1">
        <v>1.57</v>
      </c>
      <c r="G210" s="1">
        <v>1.93</v>
      </c>
      <c r="H210" s="1">
        <v>0.87</v>
      </c>
      <c r="I210" s="1">
        <v>0.86</v>
      </c>
      <c r="J210" s="1">
        <v>1.49</v>
      </c>
      <c r="K210" s="1" t="s">
        <v>67</v>
      </c>
      <c r="M210" s="1">
        <v>0.42</v>
      </c>
      <c r="N210" s="1">
        <v>1.1499999999999999</v>
      </c>
      <c r="P210" s="1">
        <v>7.2</v>
      </c>
      <c r="Q210" s="1">
        <v>35.5</v>
      </c>
      <c r="R210" s="1" t="s">
        <v>63</v>
      </c>
      <c r="S210" s="1">
        <v>307.27999999999997</v>
      </c>
      <c r="T210" s="1">
        <v>377</v>
      </c>
      <c r="U210" s="1">
        <v>1.82</v>
      </c>
      <c r="V210" s="1">
        <v>9.4</v>
      </c>
      <c r="W210" s="1">
        <v>0.1</v>
      </c>
      <c r="X210" s="1">
        <f t="shared" si="34"/>
        <v>100</v>
      </c>
      <c r="Y210" s="1">
        <v>3.3000000000000002E-2</v>
      </c>
      <c r="Z210" s="1">
        <v>8.0000000000000002E-3</v>
      </c>
      <c r="AA210" s="1">
        <v>12.0277009765625</v>
      </c>
      <c r="AB210" s="1">
        <v>6.8</v>
      </c>
      <c r="AC210" s="1">
        <v>25</v>
      </c>
      <c r="AD210" s="1" t="s">
        <v>66</v>
      </c>
      <c r="AE210" s="1">
        <v>10</v>
      </c>
      <c r="AH210" s="1">
        <v>0.86180737765957494</v>
      </c>
      <c r="AJ210" s="1">
        <f t="shared" si="27"/>
        <v>0.13819262234042506</v>
      </c>
      <c r="AK210" s="1">
        <f t="shared" si="26"/>
        <v>-1.979106753006789</v>
      </c>
      <c r="AM210">
        <v>27</v>
      </c>
      <c r="AN210">
        <f>IF(ISNUMBER(AJ210),IF(AJ210&gt;=0.05,1,0),"")</f>
        <v>1</v>
      </c>
      <c r="AO210">
        <f>IF(ISNUMBER(AJ210),IF(AJ210&lt;0.005,1,0),"")</f>
        <v>0</v>
      </c>
      <c r="AQ210" s="34"/>
      <c r="AR210" s="35"/>
      <c r="AS210" s="36"/>
    </row>
    <row r="211" spans="1:45" ht="42.75" x14ac:dyDescent="0.45">
      <c r="A211" s="1" t="s">
        <v>68</v>
      </c>
      <c r="B211" s="1" t="s">
        <v>65</v>
      </c>
      <c r="C211" s="1">
        <v>106</v>
      </c>
      <c r="D211" s="1">
        <v>250.28</v>
      </c>
      <c r="E211" s="1">
        <v>-0.1</v>
      </c>
      <c r="F211" s="1">
        <v>1.57</v>
      </c>
      <c r="G211" s="1">
        <v>1.93</v>
      </c>
      <c r="H211" s="1">
        <v>0.87</v>
      </c>
      <c r="I211" s="1">
        <v>0.86</v>
      </c>
      <c r="J211" s="1">
        <v>1.49</v>
      </c>
      <c r="K211" s="1" t="s">
        <v>67</v>
      </c>
      <c r="M211" s="1">
        <v>0.42</v>
      </c>
      <c r="N211" s="1">
        <v>1.1499999999999999</v>
      </c>
      <c r="P211" s="1">
        <v>7.2</v>
      </c>
      <c r="Q211" s="1">
        <v>35.5</v>
      </c>
      <c r="R211" s="1" t="s">
        <v>63</v>
      </c>
      <c r="S211" s="1">
        <v>307.27999999999997</v>
      </c>
      <c r="T211" s="1">
        <v>377</v>
      </c>
      <c r="U211" s="1">
        <v>1.82</v>
      </c>
      <c r="V211" s="1">
        <v>9.4</v>
      </c>
      <c r="W211" s="1">
        <v>0.1</v>
      </c>
      <c r="X211" s="1">
        <f t="shared" si="34"/>
        <v>100</v>
      </c>
      <c r="Y211" s="1">
        <v>3.3000000000000002E-2</v>
      </c>
      <c r="Z211" s="1">
        <v>8.0000000000000002E-3</v>
      </c>
      <c r="AA211" s="1">
        <v>15.9666088020833</v>
      </c>
      <c r="AB211" s="1">
        <v>6.8</v>
      </c>
      <c r="AC211" s="1">
        <v>25</v>
      </c>
      <c r="AD211" s="1" t="s">
        <v>66</v>
      </c>
      <c r="AE211" s="1">
        <v>10</v>
      </c>
      <c r="AH211" s="1">
        <v>0.91030818927305013</v>
      </c>
      <c r="AJ211" s="1">
        <f t="shared" si="27"/>
        <v>8.9691810726949872E-2</v>
      </c>
      <c r="AK211" s="1">
        <f t="shared" si="26"/>
        <v>-2.4113758103287335</v>
      </c>
      <c r="AM211">
        <v>27</v>
      </c>
      <c r="AN211">
        <f>IF(ISNUMBER(AJ211),IF(AJ211&gt;=0.05,1,0),"")</f>
        <v>1</v>
      </c>
      <c r="AO211">
        <f>IF(ISNUMBER(AJ211),IF(AJ211&lt;0.005,1,0),"")</f>
        <v>0</v>
      </c>
      <c r="AQ211" s="34"/>
      <c r="AR211" s="35"/>
      <c r="AS211" s="36"/>
    </row>
    <row r="212" spans="1:45" ht="42.75" x14ac:dyDescent="0.45">
      <c r="A212" s="1" t="s">
        <v>68</v>
      </c>
      <c r="B212" s="1" t="s">
        <v>65</v>
      </c>
      <c r="C212" s="1">
        <v>106</v>
      </c>
      <c r="D212" s="1">
        <v>250.28</v>
      </c>
      <c r="E212" s="1">
        <v>-0.1</v>
      </c>
      <c r="F212" s="1">
        <v>1.57</v>
      </c>
      <c r="G212" s="1">
        <v>1.93</v>
      </c>
      <c r="H212" s="1">
        <v>0.87</v>
      </c>
      <c r="I212" s="1">
        <v>0.86</v>
      </c>
      <c r="J212" s="1">
        <v>1.49</v>
      </c>
      <c r="K212" s="1" t="s">
        <v>67</v>
      </c>
      <c r="M212" s="1">
        <v>0.42</v>
      </c>
      <c r="N212" s="1">
        <v>1.1499999999999999</v>
      </c>
      <c r="P212" s="1">
        <v>7.2</v>
      </c>
      <c r="Q212" s="1">
        <v>35.5</v>
      </c>
      <c r="R212" s="1" t="s">
        <v>63</v>
      </c>
      <c r="S212" s="1">
        <v>307.27999999999997</v>
      </c>
      <c r="T212" s="1">
        <v>377</v>
      </c>
      <c r="U212" s="1">
        <v>1.82</v>
      </c>
      <c r="V212" s="1">
        <v>9.4</v>
      </c>
      <c r="W212" s="1">
        <v>0.1</v>
      </c>
      <c r="X212" s="1">
        <f t="shared" si="34"/>
        <v>100</v>
      </c>
      <c r="Y212" s="1">
        <v>3.3000000000000002E-2</v>
      </c>
      <c r="Z212" s="1">
        <v>8.0000000000000002E-3</v>
      </c>
      <c r="AA212" s="1">
        <v>19.905516627604101</v>
      </c>
      <c r="AB212" s="1">
        <v>6.8</v>
      </c>
      <c r="AC212" s="1">
        <v>25</v>
      </c>
      <c r="AD212" s="1" t="s">
        <v>66</v>
      </c>
      <c r="AE212" s="1">
        <v>10</v>
      </c>
      <c r="AH212" s="1">
        <v>0.99589785682624143</v>
      </c>
      <c r="AJ212" s="1">
        <f t="shared" si="27"/>
        <v>4.1021431737585656E-3</v>
      </c>
      <c r="AK212" s="1">
        <f t="shared" si="26"/>
        <v>-5.4962457165381897</v>
      </c>
      <c r="AM212">
        <v>27</v>
      </c>
      <c r="AN212">
        <f>IF(ISNUMBER(AJ212),IF(AJ212&gt;=0.05,1,0),"")</f>
        <v>0</v>
      </c>
      <c r="AO212">
        <f>IF(ISNUMBER(AJ212),IF(AJ212&lt;0.005,1,0),"")</f>
        <v>1</v>
      </c>
      <c r="AQ212" s="34"/>
      <c r="AR212" s="35"/>
      <c r="AS212" s="36"/>
    </row>
    <row r="213" spans="1:45" ht="42.75" x14ac:dyDescent="0.45">
      <c r="A213" s="1" t="s">
        <v>68</v>
      </c>
      <c r="B213" s="1" t="s">
        <v>65</v>
      </c>
      <c r="C213" s="1">
        <v>106</v>
      </c>
      <c r="D213" s="1">
        <v>250.28</v>
      </c>
      <c r="E213" s="1">
        <v>-0.1</v>
      </c>
      <c r="F213" s="1">
        <v>1.57</v>
      </c>
      <c r="G213" s="1">
        <v>1.93</v>
      </c>
      <c r="H213" s="1">
        <v>0.87</v>
      </c>
      <c r="I213" s="1">
        <v>0.86</v>
      </c>
      <c r="J213" s="1">
        <v>1.49</v>
      </c>
      <c r="K213" s="1" t="s">
        <v>67</v>
      </c>
      <c r="M213" s="1">
        <v>0.42</v>
      </c>
      <c r="N213" s="1">
        <v>1.1499999999999999</v>
      </c>
      <c r="P213" s="1">
        <v>7.2</v>
      </c>
      <c r="Q213" s="1">
        <v>35.5</v>
      </c>
      <c r="R213" s="1" t="s">
        <v>63</v>
      </c>
      <c r="S213" s="1">
        <v>307.27999999999997</v>
      </c>
      <c r="T213" s="1">
        <v>377</v>
      </c>
      <c r="U213" s="1">
        <v>1.82</v>
      </c>
      <c r="V213" s="1">
        <v>9.4</v>
      </c>
      <c r="W213" s="1">
        <v>0.1</v>
      </c>
      <c r="X213" s="1">
        <f t="shared" si="34"/>
        <v>100</v>
      </c>
      <c r="Y213" s="1">
        <v>3.3000000000000002E-2</v>
      </c>
      <c r="Z213" s="1">
        <v>8.0000000000000002E-3</v>
      </c>
      <c r="AA213" s="1">
        <v>29.627076367187399</v>
      </c>
      <c r="AB213" s="1">
        <v>6.8</v>
      </c>
      <c r="AC213" s="1">
        <v>25</v>
      </c>
      <c r="AD213" s="1" t="s">
        <v>66</v>
      </c>
      <c r="AE213" s="1">
        <v>10</v>
      </c>
      <c r="AH213" s="1">
        <v>0.9987508457446812</v>
      </c>
      <c r="AJ213" s="1">
        <f t="shared" si="27"/>
        <v>1.2491542553187962E-3</v>
      </c>
      <c r="AK213" s="1">
        <f t="shared" si="26"/>
        <v>-6.685288552407088</v>
      </c>
      <c r="AM213">
        <v>27</v>
      </c>
      <c r="AN213">
        <f>IF(ISNUMBER(AJ213),IF(AJ213&gt;=0.05,1,0),"")</f>
        <v>0</v>
      </c>
      <c r="AO213">
        <f>IF(ISNUMBER(AJ213),IF(AJ213&lt;0.005,1,0),"")</f>
        <v>1</v>
      </c>
      <c r="AQ213" s="34"/>
      <c r="AR213" s="35"/>
      <c r="AS213" s="36"/>
    </row>
    <row r="214" spans="1:45" ht="42.75" x14ac:dyDescent="0.45">
      <c r="A214" s="1" t="s">
        <v>68</v>
      </c>
      <c r="B214" s="1" t="s">
        <v>65</v>
      </c>
      <c r="C214" s="1">
        <v>106</v>
      </c>
      <c r="D214" s="1">
        <v>250.28</v>
      </c>
      <c r="E214" s="1">
        <v>-0.1</v>
      </c>
      <c r="F214" s="1">
        <v>1.57</v>
      </c>
      <c r="G214" s="1">
        <v>1.93</v>
      </c>
      <c r="H214" s="1">
        <v>0.87</v>
      </c>
      <c r="I214" s="1">
        <v>0.86</v>
      </c>
      <c r="J214" s="1">
        <v>1.49</v>
      </c>
      <c r="K214" s="1" t="s">
        <v>67</v>
      </c>
      <c r="M214" s="1">
        <v>0.42</v>
      </c>
      <c r="N214" s="1">
        <v>1.1499999999999999</v>
      </c>
      <c r="P214" s="1">
        <v>7.2</v>
      </c>
      <c r="Q214" s="1">
        <v>35.5</v>
      </c>
      <c r="R214" s="1" t="s">
        <v>63</v>
      </c>
      <c r="S214" s="1">
        <v>307.27999999999997</v>
      </c>
      <c r="T214" s="1">
        <v>377</v>
      </c>
      <c r="U214" s="1">
        <v>1.82</v>
      </c>
      <c r="V214" s="1">
        <v>9.4</v>
      </c>
      <c r="W214" s="1">
        <v>0.1</v>
      </c>
      <c r="X214" s="1">
        <f t="shared" si="34"/>
        <v>100</v>
      </c>
      <c r="Y214" s="1">
        <v>3.3000000000000002E-2</v>
      </c>
      <c r="Z214" s="1">
        <v>8.0000000000000002E-3</v>
      </c>
      <c r="AA214" s="1">
        <v>39.348636106770797</v>
      </c>
      <c r="AB214" s="1">
        <v>6.8</v>
      </c>
      <c r="AC214" s="1">
        <v>25</v>
      </c>
      <c r="AD214" s="1" t="s">
        <v>66</v>
      </c>
      <c r="AE214" s="1">
        <v>10</v>
      </c>
      <c r="AH214" s="1">
        <v>0.99999990000000005</v>
      </c>
      <c r="AJ214" s="1">
        <f t="shared" si="27"/>
        <v>9.9999999947364415E-8</v>
      </c>
      <c r="AK214" s="1">
        <f t="shared" si="26"/>
        <v>-16.118095651484676</v>
      </c>
      <c r="AM214">
        <v>27</v>
      </c>
      <c r="AN214">
        <f>IF(ISNUMBER(AJ214),IF(AJ214&gt;=0.05,1,0),"")</f>
        <v>0</v>
      </c>
      <c r="AO214">
        <f>IF(ISNUMBER(AJ214),IF(AJ214&lt;0.005,1,0),"")</f>
        <v>1</v>
      </c>
      <c r="AQ214" s="34"/>
      <c r="AR214" s="35"/>
      <c r="AS214" s="36"/>
    </row>
    <row r="215" spans="1:45" ht="42.75" x14ac:dyDescent="0.45">
      <c r="A215" s="1" t="s">
        <v>71</v>
      </c>
      <c r="B215" s="1" t="s">
        <v>65</v>
      </c>
      <c r="C215" s="1">
        <v>106</v>
      </c>
      <c r="D215" s="1">
        <v>250.28</v>
      </c>
      <c r="E215" s="1">
        <v>-0.1</v>
      </c>
      <c r="F215" s="1">
        <v>1.57</v>
      </c>
      <c r="G215" s="1">
        <v>1.93</v>
      </c>
      <c r="H215" s="1">
        <v>0.87</v>
      </c>
      <c r="I215" s="1">
        <v>0.86</v>
      </c>
      <c r="J215" s="1">
        <v>1.49</v>
      </c>
      <c r="K215" s="1" t="s">
        <v>67</v>
      </c>
      <c r="M215" s="1">
        <v>0.42</v>
      </c>
      <c r="N215" s="1">
        <v>1.1499999999999999</v>
      </c>
      <c r="P215" s="1">
        <v>7.2</v>
      </c>
      <c r="Q215" s="1">
        <v>35.5</v>
      </c>
      <c r="R215" s="1" t="s">
        <v>72</v>
      </c>
      <c r="S215" s="1">
        <v>307.27999999999997</v>
      </c>
      <c r="T215" s="1">
        <v>377</v>
      </c>
      <c r="U215" s="1">
        <v>1.82</v>
      </c>
      <c r="V215" s="1">
        <v>9.4</v>
      </c>
      <c r="W215" s="1">
        <v>0.02</v>
      </c>
      <c r="X215" s="1">
        <f t="shared" si="34"/>
        <v>20</v>
      </c>
      <c r="Y215" s="1">
        <v>3.3000000000000002E-2</v>
      </c>
      <c r="Z215" s="1">
        <v>8.0000000000000002E-3</v>
      </c>
      <c r="AA215" s="1">
        <v>0</v>
      </c>
      <c r="AB215" s="1">
        <v>6.8</v>
      </c>
      <c r="AC215" s="1">
        <v>25</v>
      </c>
      <c r="AD215" s="1" t="s">
        <v>66</v>
      </c>
      <c r="AE215" s="1">
        <v>10</v>
      </c>
      <c r="AH215" s="1">
        <v>0</v>
      </c>
      <c r="AI215" s="1">
        <f>-AK222/AA222</f>
        <v>3.0461124734234735E-2</v>
      </c>
      <c r="AJ215" s="1">
        <f t="shared" ref="AJ215" si="36">1-AH215</f>
        <v>1</v>
      </c>
      <c r="AK215" s="1">
        <f t="shared" si="26"/>
        <v>0</v>
      </c>
      <c r="AL215" s="1">
        <v>2.8708711996875299E-2</v>
      </c>
      <c r="AM215">
        <v>28</v>
      </c>
      <c r="AN215">
        <f>IF(ISNUMBER(AJ215),IF(AJ215&gt;=0.05,1,0),"")</f>
        <v>1</v>
      </c>
      <c r="AO215">
        <f>IF(ISNUMBER(AJ215),IF(AJ215&lt;0.005,1,0),"")</f>
        <v>0</v>
      </c>
      <c r="AP215">
        <f>IFERROR(MATCH(0,AN215:AN222,0)-1,8)</f>
        <v>8</v>
      </c>
      <c r="AQ215" s="34">
        <f>IF(AP215&lt;3,"n&lt;3",IFERROR(-SLOPE(AK215:INDEX(AK215:AK222,AP215),AA215:INDEX(AA215:AA222,AP215)),"no fit"))</f>
        <v>3.1764181393800758E-2</v>
      </c>
      <c r="AR215" s="35">
        <f>IF(AP215&lt;3,"",IFERROR(RSQ(AK215:INDEX(AK215:AK222,AP215),AA215:INDEX(AA215:AA222,AP215)),"flat"))</f>
        <v>0.97258349955682832</v>
      </c>
      <c r="AS215" s="36">
        <f>IFERROR(AQ215/AI215,"")</f>
        <v>1.0427776935663029</v>
      </c>
    </row>
    <row r="216" spans="1:45" ht="42.75" x14ac:dyDescent="0.45">
      <c r="A216" s="1" t="s">
        <v>71</v>
      </c>
      <c r="B216" s="1" t="s">
        <v>65</v>
      </c>
      <c r="C216" s="1">
        <v>106</v>
      </c>
      <c r="D216" s="1">
        <v>250.28</v>
      </c>
      <c r="E216" s="1">
        <v>-0.1</v>
      </c>
      <c r="F216" s="1">
        <v>1.57</v>
      </c>
      <c r="G216" s="1">
        <v>1.93</v>
      </c>
      <c r="H216" s="1">
        <v>0.87</v>
      </c>
      <c r="I216" s="1">
        <v>0.86</v>
      </c>
      <c r="J216" s="1">
        <v>1.49</v>
      </c>
      <c r="K216" s="1" t="s">
        <v>67</v>
      </c>
      <c r="M216" s="1">
        <v>0.42</v>
      </c>
      <c r="N216" s="1">
        <v>1.1499999999999999</v>
      </c>
      <c r="P216" s="1">
        <v>7.2</v>
      </c>
      <c r="Q216" s="1">
        <v>35.5</v>
      </c>
      <c r="R216" s="1" t="s">
        <v>72</v>
      </c>
      <c r="S216" s="1">
        <v>307.27999999999997</v>
      </c>
      <c r="T216" s="1">
        <v>377</v>
      </c>
      <c r="U216" s="1">
        <v>1.82</v>
      </c>
      <c r="V216" s="1">
        <v>9.4</v>
      </c>
      <c r="W216" s="1">
        <v>0.02</v>
      </c>
      <c r="X216" s="1">
        <f t="shared" si="34"/>
        <v>20</v>
      </c>
      <c r="Y216" s="1">
        <v>3.3000000000000002E-2</v>
      </c>
      <c r="Z216" s="1">
        <v>8.0000000000000002E-3</v>
      </c>
      <c r="AA216" s="1">
        <v>0.99525959821429</v>
      </c>
      <c r="AB216" s="1">
        <v>6.8</v>
      </c>
      <c r="AC216" s="1">
        <v>25</v>
      </c>
      <c r="AD216" s="1" t="s">
        <v>66</v>
      </c>
      <c r="AE216" s="1">
        <v>10</v>
      </c>
      <c r="AH216" s="1">
        <v>6.8164826086958952E-2</v>
      </c>
      <c r="AJ216" s="1">
        <f t="shared" si="27"/>
        <v>0.93183517391304105</v>
      </c>
      <c r="AK216" s="1">
        <f t="shared" si="26"/>
        <v>-7.059933196134327E-2</v>
      </c>
      <c r="AM216">
        <v>28</v>
      </c>
      <c r="AN216">
        <f>IF(ISNUMBER(AJ216),IF(AJ216&gt;=0.05,1,0),"")</f>
        <v>1</v>
      </c>
      <c r="AO216">
        <f>IF(ISNUMBER(AJ216),IF(AJ216&lt;0.005,1,0),"")</f>
        <v>0</v>
      </c>
      <c r="AQ216" s="34"/>
      <c r="AR216" s="35"/>
      <c r="AS216" s="36"/>
    </row>
    <row r="217" spans="1:45" ht="42.75" x14ac:dyDescent="0.45">
      <c r="A217" s="1" t="s">
        <v>71</v>
      </c>
      <c r="B217" s="1" t="s">
        <v>65</v>
      </c>
      <c r="C217" s="1">
        <v>106</v>
      </c>
      <c r="D217" s="1">
        <v>250.28</v>
      </c>
      <c r="E217" s="1">
        <v>-0.1</v>
      </c>
      <c r="F217" s="1">
        <v>1.57</v>
      </c>
      <c r="G217" s="1">
        <v>1.93</v>
      </c>
      <c r="H217" s="1">
        <v>0.87</v>
      </c>
      <c r="I217" s="1">
        <v>0.86</v>
      </c>
      <c r="J217" s="1">
        <v>1.49</v>
      </c>
      <c r="K217" s="1" t="s">
        <v>67</v>
      </c>
      <c r="M217" s="1">
        <v>0.42</v>
      </c>
      <c r="N217" s="1">
        <v>1.1499999999999999</v>
      </c>
      <c r="P217" s="1">
        <v>7.2</v>
      </c>
      <c r="Q217" s="1">
        <v>35.5</v>
      </c>
      <c r="R217" s="1" t="s">
        <v>72</v>
      </c>
      <c r="S217" s="1">
        <v>307.27999999999997</v>
      </c>
      <c r="T217" s="1">
        <v>377</v>
      </c>
      <c r="U217" s="1">
        <v>1.82</v>
      </c>
      <c r="V217" s="1">
        <v>9.4</v>
      </c>
      <c r="W217" s="1">
        <v>0.02</v>
      </c>
      <c r="X217" s="1">
        <f t="shared" si="34"/>
        <v>20</v>
      </c>
      <c r="Y217" s="1">
        <v>3.3000000000000002E-2</v>
      </c>
      <c r="Z217" s="1">
        <v>8.0000000000000002E-3</v>
      </c>
      <c r="AA217" s="1">
        <v>2.8691948660714299</v>
      </c>
      <c r="AB217" s="1">
        <v>6.8</v>
      </c>
      <c r="AC217" s="1">
        <v>25</v>
      </c>
      <c r="AD217" s="1" t="s">
        <v>66</v>
      </c>
      <c r="AE217" s="1">
        <v>10</v>
      </c>
      <c r="AH217" s="1">
        <v>9.858232608695805E-2</v>
      </c>
      <c r="AJ217" s="1">
        <f t="shared" si="27"/>
        <v>0.90141767391304195</v>
      </c>
      <c r="AK217" s="1">
        <f t="shared" si="26"/>
        <v>-0.10378656173670918</v>
      </c>
      <c r="AM217">
        <v>28</v>
      </c>
      <c r="AN217">
        <f>IF(ISNUMBER(AJ217),IF(AJ217&gt;=0.05,1,0),"")</f>
        <v>1</v>
      </c>
      <c r="AO217">
        <f>IF(ISNUMBER(AJ217),IF(AJ217&lt;0.005,1,0),"")</f>
        <v>0</v>
      </c>
      <c r="AQ217" s="34"/>
      <c r="AR217" s="35"/>
      <c r="AS217" s="36"/>
    </row>
    <row r="218" spans="1:45" ht="42.75" x14ac:dyDescent="0.45">
      <c r="A218" s="1" t="s">
        <v>71</v>
      </c>
      <c r="B218" s="1" t="s">
        <v>65</v>
      </c>
      <c r="C218" s="1">
        <v>106</v>
      </c>
      <c r="D218" s="1">
        <v>250.28</v>
      </c>
      <c r="E218" s="1">
        <v>-0.1</v>
      </c>
      <c r="F218" s="1">
        <v>1.57</v>
      </c>
      <c r="G218" s="1">
        <v>1.93</v>
      </c>
      <c r="H218" s="1">
        <v>0.87</v>
      </c>
      <c r="I218" s="1">
        <v>0.86</v>
      </c>
      <c r="J218" s="1">
        <v>1.49</v>
      </c>
      <c r="K218" s="1" t="s">
        <v>67</v>
      </c>
      <c r="M218" s="1">
        <v>0.42</v>
      </c>
      <c r="N218" s="1">
        <v>1.1499999999999999</v>
      </c>
      <c r="P218" s="1">
        <v>7.2</v>
      </c>
      <c r="Q218" s="1">
        <v>35.5</v>
      </c>
      <c r="R218" s="1" t="s">
        <v>72</v>
      </c>
      <c r="S218" s="1">
        <v>307.27999999999997</v>
      </c>
      <c r="T218" s="1">
        <v>377</v>
      </c>
      <c r="U218" s="1">
        <v>1.82</v>
      </c>
      <c r="V218" s="1">
        <v>9.4</v>
      </c>
      <c r="W218" s="1">
        <v>0.02</v>
      </c>
      <c r="X218" s="1">
        <f t="shared" si="34"/>
        <v>20</v>
      </c>
      <c r="Y218" s="1">
        <v>3.3000000000000002E-2</v>
      </c>
      <c r="Z218" s="1">
        <v>8.0000000000000002E-3</v>
      </c>
      <c r="AA218" s="1">
        <v>4.9305236607142797</v>
      </c>
      <c r="AB218" s="1">
        <v>6.8</v>
      </c>
      <c r="AC218" s="1">
        <v>25</v>
      </c>
      <c r="AD218" s="1" t="s">
        <v>66</v>
      </c>
      <c r="AE218" s="1">
        <v>10</v>
      </c>
      <c r="AH218" s="1">
        <v>0.13812507608695801</v>
      </c>
      <c r="AJ218" s="1">
        <f t="shared" si="27"/>
        <v>0.86187492391304199</v>
      </c>
      <c r="AK218" s="1">
        <f t="shared" si="26"/>
        <v>-0.14864511871530914</v>
      </c>
      <c r="AM218">
        <v>28</v>
      </c>
      <c r="AN218">
        <f>IF(ISNUMBER(AJ218),IF(AJ218&gt;=0.05,1,0),"")</f>
        <v>1</v>
      </c>
      <c r="AO218">
        <f>IF(ISNUMBER(AJ218),IF(AJ218&lt;0.005,1,0),"")</f>
        <v>0</v>
      </c>
      <c r="AQ218" s="34"/>
      <c r="AR218" s="35"/>
      <c r="AS218" s="36"/>
    </row>
    <row r="219" spans="1:45" ht="42.75" x14ac:dyDescent="0.45">
      <c r="A219" s="1" t="s">
        <v>71</v>
      </c>
      <c r="B219" s="1" t="s">
        <v>65</v>
      </c>
      <c r="C219" s="1">
        <v>106</v>
      </c>
      <c r="D219" s="1">
        <v>250.28</v>
      </c>
      <c r="E219" s="1">
        <v>-0.1</v>
      </c>
      <c r="F219" s="1">
        <v>1.57</v>
      </c>
      <c r="G219" s="1">
        <v>1.93</v>
      </c>
      <c r="H219" s="1">
        <v>0.87</v>
      </c>
      <c r="I219" s="1">
        <v>0.86</v>
      </c>
      <c r="J219" s="1">
        <v>1.49</v>
      </c>
      <c r="K219" s="1" t="s">
        <v>67</v>
      </c>
      <c r="M219" s="1">
        <v>0.42</v>
      </c>
      <c r="N219" s="1">
        <v>1.1499999999999999</v>
      </c>
      <c r="P219" s="1">
        <v>7.2</v>
      </c>
      <c r="Q219" s="1">
        <v>35.5</v>
      </c>
      <c r="R219" s="1" t="s">
        <v>72</v>
      </c>
      <c r="S219" s="1">
        <v>307.27999999999997</v>
      </c>
      <c r="T219" s="1">
        <v>377</v>
      </c>
      <c r="U219" s="1">
        <v>1.82</v>
      </c>
      <c r="V219" s="1">
        <v>9.4</v>
      </c>
      <c r="W219" s="1">
        <v>0.02</v>
      </c>
      <c r="X219" s="1">
        <f t="shared" si="34"/>
        <v>20</v>
      </c>
      <c r="Y219" s="1">
        <v>3.3000000000000002E-2</v>
      </c>
      <c r="Z219" s="1">
        <v>8.0000000000000002E-3</v>
      </c>
      <c r="AA219" s="1">
        <v>8.0537491071428509</v>
      </c>
      <c r="AB219" s="1">
        <v>6.8</v>
      </c>
      <c r="AC219" s="1">
        <v>25</v>
      </c>
      <c r="AD219" s="1" t="s">
        <v>66</v>
      </c>
      <c r="AE219" s="1">
        <v>10</v>
      </c>
      <c r="AH219" s="1">
        <v>0.18983482608695801</v>
      </c>
      <c r="AJ219" s="1">
        <f t="shared" si="27"/>
        <v>0.81016517391304199</v>
      </c>
      <c r="AK219" s="1">
        <f t="shared" si="26"/>
        <v>-0.2105171336930228</v>
      </c>
      <c r="AM219">
        <v>28</v>
      </c>
      <c r="AN219">
        <f>IF(ISNUMBER(AJ219),IF(AJ219&gt;=0.05,1,0),"")</f>
        <v>1</v>
      </c>
      <c r="AO219">
        <f>IF(ISNUMBER(AJ219),IF(AJ219&lt;0.005,1,0),"")</f>
        <v>0</v>
      </c>
      <c r="AQ219" s="34"/>
      <c r="AR219" s="35"/>
      <c r="AS219" s="36"/>
    </row>
    <row r="220" spans="1:45" ht="42.75" x14ac:dyDescent="0.45">
      <c r="A220" s="1" t="s">
        <v>71</v>
      </c>
      <c r="B220" s="1" t="s">
        <v>65</v>
      </c>
      <c r="C220" s="1">
        <v>106</v>
      </c>
      <c r="D220" s="1">
        <v>250.28</v>
      </c>
      <c r="E220" s="1">
        <v>-0.1</v>
      </c>
      <c r="F220" s="1">
        <v>1.57</v>
      </c>
      <c r="G220" s="1">
        <v>1.93</v>
      </c>
      <c r="H220" s="1">
        <v>0.87</v>
      </c>
      <c r="I220" s="1">
        <v>0.86</v>
      </c>
      <c r="J220" s="1">
        <v>1.49</v>
      </c>
      <c r="K220" s="1" t="s">
        <v>67</v>
      </c>
      <c r="M220" s="1">
        <v>0.42</v>
      </c>
      <c r="N220" s="1">
        <v>1.1499999999999999</v>
      </c>
      <c r="P220" s="1">
        <v>7.2</v>
      </c>
      <c r="Q220" s="1">
        <v>35.5</v>
      </c>
      <c r="R220" s="1" t="s">
        <v>72</v>
      </c>
      <c r="S220" s="1">
        <v>307.27999999999997</v>
      </c>
      <c r="T220" s="1">
        <v>377</v>
      </c>
      <c r="U220" s="1">
        <v>1.82</v>
      </c>
      <c r="V220" s="1">
        <v>9.4</v>
      </c>
      <c r="W220" s="1">
        <v>0.02</v>
      </c>
      <c r="X220" s="1">
        <f t="shared" si="34"/>
        <v>20</v>
      </c>
      <c r="Y220" s="1">
        <v>3.3000000000000002E-2</v>
      </c>
      <c r="Z220" s="1">
        <v>8.0000000000000002E-3</v>
      </c>
      <c r="AA220" s="1">
        <v>11.989013169642799</v>
      </c>
      <c r="AB220" s="1">
        <v>6.8</v>
      </c>
      <c r="AC220" s="1">
        <v>25</v>
      </c>
      <c r="AD220" s="1" t="s">
        <v>66</v>
      </c>
      <c r="AE220" s="1">
        <v>10</v>
      </c>
      <c r="AH220" s="1">
        <v>0.360172826086957</v>
      </c>
      <c r="AJ220" s="1">
        <f t="shared" si="27"/>
        <v>0.639827173913043</v>
      </c>
      <c r="AK220" s="1">
        <f t="shared" si="26"/>
        <v>-0.44655717985686139</v>
      </c>
      <c r="AM220">
        <v>28</v>
      </c>
      <c r="AN220">
        <f>IF(ISNUMBER(AJ220),IF(AJ220&gt;=0.05,1,0),"")</f>
        <v>1</v>
      </c>
      <c r="AO220">
        <f>IF(ISNUMBER(AJ220),IF(AJ220&lt;0.005,1,0),"")</f>
        <v>0</v>
      </c>
      <c r="AQ220" s="34"/>
      <c r="AR220" s="35"/>
      <c r="AS220" s="36"/>
    </row>
    <row r="221" spans="1:45" ht="42.75" x14ac:dyDescent="0.45">
      <c r="A221" s="1" t="s">
        <v>71</v>
      </c>
      <c r="B221" s="1" t="s">
        <v>65</v>
      </c>
      <c r="C221" s="1">
        <v>106</v>
      </c>
      <c r="D221" s="1">
        <v>250.28</v>
      </c>
      <c r="E221" s="1">
        <v>-0.1</v>
      </c>
      <c r="F221" s="1">
        <v>1.57</v>
      </c>
      <c r="G221" s="1">
        <v>1.93</v>
      </c>
      <c r="H221" s="1">
        <v>0.87</v>
      </c>
      <c r="I221" s="1">
        <v>0.86</v>
      </c>
      <c r="J221" s="1">
        <v>1.49</v>
      </c>
      <c r="K221" s="1" t="s">
        <v>67</v>
      </c>
      <c r="M221" s="1">
        <v>0.42</v>
      </c>
      <c r="N221" s="1">
        <v>1.1499999999999999</v>
      </c>
      <c r="P221" s="1">
        <v>7.2</v>
      </c>
      <c r="Q221" s="1">
        <v>35.5</v>
      </c>
      <c r="R221" s="1" t="s">
        <v>72</v>
      </c>
      <c r="S221" s="1">
        <v>307.27999999999997</v>
      </c>
      <c r="T221" s="1">
        <v>377</v>
      </c>
      <c r="U221" s="1">
        <v>1.82</v>
      </c>
      <c r="V221" s="1">
        <v>9.4</v>
      </c>
      <c r="W221" s="1">
        <v>0.02</v>
      </c>
      <c r="X221" s="1">
        <f t="shared" si="34"/>
        <v>20</v>
      </c>
      <c r="Y221" s="1">
        <v>3.3000000000000002E-2</v>
      </c>
      <c r="Z221" s="1">
        <v>8.0000000000000002E-3</v>
      </c>
      <c r="AA221" s="1">
        <v>15.924277232142799</v>
      </c>
      <c r="AB221" s="1">
        <v>6.8</v>
      </c>
      <c r="AC221" s="1">
        <v>25</v>
      </c>
      <c r="AD221" s="1" t="s">
        <v>66</v>
      </c>
      <c r="AE221" s="1">
        <v>10</v>
      </c>
      <c r="AH221" s="1">
        <v>0.44230007608695698</v>
      </c>
      <c r="AJ221" s="1">
        <f t="shared" si="27"/>
        <v>0.55769992391304302</v>
      </c>
      <c r="AK221" s="1">
        <f t="shared" si="26"/>
        <v>-0.58393423201654149</v>
      </c>
      <c r="AM221">
        <v>28</v>
      </c>
      <c r="AN221">
        <f>IF(ISNUMBER(AJ221),IF(AJ221&gt;=0.05,1,0),"")</f>
        <v>1</v>
      </c>
      <c r="AO221">
        <f>IF(ISNUMBER(AJ221),IF(AJ221&lt;0.005,1,0),"")</f>
        <v>0</v>
      </c>
      <c r="AQ221" s="34"/>
      <c r="AR221" s="35"/>
      <c r="AS221" s="36"/>
    </row>
    <row r="222" spans="1:45" ht="42.75" x14ac:dyDescent="0.45">
      <c r="A222" s="1" t="s">
        <v>71</v>
      </c>
      <c r="B222" s="1" t="s">
        <v>65</v>
      </c>
      <c r="C222" s="1">
        <v>106</v>
      </c>
      <c r="D222" s="1">
        <v>250.28</v>
      </c>
      <c r="E222" s="1">
        <v>-0.1</v>
      </c>
      <c r="F222" s="1">
        <v>1.57</v>
      </c>
      <c r="G222" s="1">
        <v>1.93</v>
      </c>
      <c r="H222" s="1">
        <v>0.87</v>
      </c>
      <c r="I222" s="1">
        <v>0.86</v>
      </c>
      <c r="J222" s="1">
        <v>1.49</v>
      </c>
      <c r="K222" s="1" t="s">
        <v>67</v>
      </c>
      <c r="M222" s="1">
        <v>0.42</v>
      </c>
      <c r="N222" s="1">
        <v>1.1499999999999999</v>
      </c>
      <c r="P222" s="1">
        <v>7.2</v>
      </c>
      <c r="Q222" s="1">
        <v>35.5</v>
      </c>
      <c r="R222" s="1" t="s">
        <v>72</v>
      </c>
      <c r="S222" s="1">
        <v>307.27999999999997</v>
      </c>
      <c r="T222" s="1">
        <v>377</v>
      </c>
      <c r="U222" s="1">
        <v>1.82</v>
      </c>
      <c r="V222" s="1">
        <v>9.4</v>
      </c>
      <c r="W222" s="1">
        <v>0.02</v>
      </c>
      <c r="X222" s="1">
        <f t="shared" si="34"/>
        <v>20</v>
      </c>
      <c r="Y222" s="1">
        <v>3.3000000000000002E-2</v>
      </c>
      <c r="Z222" s="1">
        <v>8.0000000000000002E-3</v>
      </c>
      <c r="AA222" s="1">
        <v>23.982198883928501</v>
      </c>
      <c r="AB222" s="1">
        <v>6.8</v>
      </c>
      <c r="AC222" s="1">
        <v>25</v>
      </c>
      <c r="AD222" s="1" t="s">
        <v>66</v>
      </c>
      <c r="AE222" s="1">
        <v>10</v>
      </c>
      <c r="AH222" s="1">
        <v>0.51834382608695595</v>
      </c>
      <c r="AJ222" s="1">
        <f t="shared" si="27"/>
        <v>0.48165617391304405</v>
      </c>
      <c r="AK222" s="1">
        <f t="shared" si="26"/>
        <v>-0.73052475160457109</v>
      </c>
      <c r="AM222">
        <v>28</v>
      </c>
      <c r="AN222">
        <f>IF(ISNUMBER(AJ222),IF(AJ222&gt;=0.05,1,0),"")</f>
        <v>1</v>
      </c>
      <c r="AO222">
        <f>IF(ISNUMBER(AJ222),IF(AJ222&lt;0.005,1,0),"")</f>
        <v>0</v>
      </c>
      <c r="AQ222" s="34"/>
      <c r="AR222" s="35"/>
      <c r="AS222" s="36"/>
    </row>
    <row r="223" spans="1:45" ht="42.75" x14ac:dyDescent="0.45">
      <c r="A223" s="1" t="s">
        <v>71</v>
      </c>
      <c r="B223" s="1" t="s">
        <v>65</v>
      </c>
      <c r="C223" s="1">
        <v>106</v>
      </c>
      <c r="D223" s="1">
        <v>250.28</v>
      </c>
      <c r="E223" s="1">
        <v>-0.1</v>
      </c>
      <c r="F223" s="1">
        <v>1.57</v>
      </c>
      <c r="G223" s="1">
        <v>1.93</v>
      </c>
      <c r="H223" s="1">
        <v>0.87</v>
      </c>
      <c r="I223" s="1">
        <v>0.86</v>
      </c>
      <c r="J223" s="1">
        <v>1.49</v>
      </c>
      <c r="K223" s="1" t="s">
        <v>67</v>
      </c>
      <c r="M223" s="1">
        <v>0.42</v>
      </c>
      <c r="N223" s="1">
        <v>1.1499999999999999</v>
      </c>
      <c r="P223" s="1">
        <v>7.2</v>
      </c>
      <c r="Q223" s="1">
        <v>35.5</v>
      </c>
      <c r="R223" s="1" t="s">
        <v>72</v>
      </c>
      <c r="S223" s="1">
        <v>307.27999999999997</v>
      </c>
      <c r="T223" s="1">
        <v>377</v>
      </c>
      <c r="U223" s="1">
        <v>1.82</v>
      </c>
      <c r="V223" s="1">
        <v>9.4</v>
      </c>
      <c r="W223" s="1">
        <v>0.05</v>
      </c>
      <c r="X223" s="1">
        <f t="shared" si="34"/>
        <v>50</v>
      </c>
      <c r="Y223" s="1">
        <v>3.3000000000000002E-2</v>
      </c>
      <c r="Z223" s="1">
        <v>8.0000000000000002E-3</v>
      </c>
      <c r="AA223" s="1">
        <v>0</v>
      </c>
      <c r="AB223" s="1">
        <v>6.8</v>
      </c>
      <c r="AC223" s="1">
        <v>25</v>
      </c>
      <c r="AD223" s="1" t="s">
        <v>66</v>
      </c>
      <c r="AE223" s="1">
        <v>10</v>
      </c>
      <c r="AH223" s="1">
        <v>0</v>
      </c>
      <c r="AI223" s="1">
        <f>-AK230/AA230</f>
        <v>6.6907222127533417E-2</v>
      </c>
      <c r="AJ223" s="1">
        <f t="shared" ref="AJ223" si="37">1-AH223</f>
        <v>1</v>
      </c>
      <c r="AK223" s="1">
        <f t="shared" si="26"/>
        <v>0</v>
      </c>
      <c r="AL223" s="1">
        <v>6.2381258052940501E-2</v>
      </c>
      <c r="AM223">
        <v>29</v>
      </c>
      <c r="AN223">
        <f>IF(ISNUMBER(AJ223),IF(AJ223&gt;=0.05,1,0),"")</f>
        <v>1</v>
      </c>
      <c r="AO223">
        <f>IF(ISNUMBER(AJ223),IF(AJ223&lt;0.005,1,0),"")</f>
        <v>0</v>
      </c>
      <c r="AP223">
        <f>IFERROR(MATCH(0,AN223:AN230,0)-1,8)</f>
        <v>8</v>
      </c>
      <c r="AQ223" s="34">
        <f>IF(AP223&lt;3,"n&lt;3",IFERROR(-SLOPE(AK223:INDEX(AK223:AK230,AP223),AA223:INDEX(AA223:AA230,AP223)),"no fit"))</f>
        <v>6.2876927576346012E-2</v>
      </c>
      <c r="AR223" s="35">
        <f>IF(AP223&lt;3,"",IFERROR(RSQ(AK223:INDEX(AK223:AK230,AP223),AA223:INDEX(AA223:AA230,AP223)),"flat"))</f>
        <v>0.98688638082748059</v>
      </c>
      <c r="AS223" s="36">
        <f>IFERROR(AQ223/AI223,"")</f>
        <v>0.93976293704878122</v>
      </c>
    </row>
    <row r="224" spans="1:45" ht="42.75" x14ac:dyDescent="0.45">
      <c r="A224" s="1" t="s">
        <v>71</v>
      </c>
      <c r="B224" s="1" t="s">
        <v>65</v>
      </c>
      <c r="C224" s="1">
        <v>106</v>
      </c>
      <c r="D224" s="1">
        <v>250.28</v>
      </c>
      <c r="E224" s="1">
        <v>-0.1</v>
      </c>
      <c r="F224" s="1">
        <v>1.57</v>
      </c>
      <c r="G224" s="1">
        <v>1.93</v>
      </c>
      <c r="H224" s="1">
        <v>0.87</v>
      </c>
      <c r="I224" s="1">
        <v>0.86</v>
      </c>
      <c r="J224" s="1">
        <v>1.49</v>
      </c>
      <c r="K224" s="1" t="s">
        <v>67</v>
      </c>
      <c r="M224" s="1">
        <v>0.42</v>
      </c>
      <c r="N224" s="1">
        <v>1.1499999999999999</v>
      </c>
      <c r="P224" s="1">
        <v>7.2</v>
      </c>
      <c r="Q224" s="1">
        <v>35.5</v>
      </c>
      <c r="R224" s="1" t="s">
        <v>72</v>
      </c>
      <c r="S224" s="1">
        <v>307.27999999999997</v>
      </c>
      <c r="T224" s="1">
        <v>377</v>
      </c>
      <c r="U224" s="1">
        <v>1.82</v>
      </c>
      <c r="V224" s="1">
        <v>9.4</v>
      </c>
      <c r="W224" s="1">
        <v>0.05</v>
      </c>
      <c r="X224" s="1">
        <f t="shared" si="34"/>
        <v>50</v>
      </c>
      <c r="Y224" s="1">
        <v>3.3000000000000002E-2</v>
      </c>
      <c r="Z224" s="1">
        <v>8.0000000000000002E-3</v>
      </c>
      <c r="AA224" s="1">
        <v>0.93279508928572097</v>
      </c>
      <c r="AB224" s="1">
        <v>6.8</v>
      </c>
      <c r="AC224" s="1">
        <v>25</v>
      </c>
      <c r="AD224" s="1" t="s">
        <v>66</v>
      </c>
      <c r="AE224" s="1">
        <v>10</v>
      </c>
      <c r="AH224" s="1">
        <v>0.153333826086958</v>
      </c>
      <c r="AJ224" s="1">
        <f t="shared" si="27"/>
        <v>0.846666173913042</v>
      </c>
      <c r="AK224" s="1">
        <f t="shared" si="26"/>
        <v>-0.16644878963030391</v>
      </c>
      <c r="AM224">
        <v>29</v>
      </c>
      <c r="AN224">
        <f>IF(ISNUMBER(AJ224),IF(AJ224&gt;=0.05,1,0),"")</f>
        <v>1</v>
      </c>
      <c r="AO224">
        <f>IF(ISNUMBER(AJ224),IF(AJ224&lt;0.005,1,0),"")</f>
        <v>0</v>
      </c>
      <c r="AQ224" s="34"/>
      <c r="AR224" s="35"/>
      <c r="AS224" s="36"/>
    </row>
    <row r="225" spans="1:45" ht="42.75" x14ac:dyDescent="0.45">
      <c r="A225" s="1" t="s">
        <v>71</v>
      </c>
      <c r="B225" s="1" t="s">
        <v>65</v>
      </c>
      <c r="C225" s="1">
        <v>106</v>
      </c>
      <c r="D225" s="1">
        <v>250.28</v>
      </c>
      <c r="E225" s="1">
        <v>-0.1</v>
      </c>
      <c r="F225" s="1">
        <v>1.57</v>
      </c>
      <c r="G225" s="1">
        <v>1.93</v>
      </c>
      <c r="H225" s="1">
        <v>0.87</v>
      </c>
      <c r="I225" s="1">
        <v>0.86</v>
      </c>
      <c r="J225" s="1">
        <v>1.49</v>
      </c>
      <c r="K225" s="1" t="s">
        <v>67</v>
      </c>
      <c r="M225" s="1">
        <v>0.42</v>
      </c>
      <c r="N225" s="1">
        <v>1.1499999999999999</v>
      </c>
      <c r="P225" s="1">
        <v>7.2</v>
      </c>
      <c r="Q225" s="1">
        <v>35.5</v>
      </c>
      <c r="R225" s="1" t="s">
        <v>72</v>
      </c>
      <c r="S225" s="1">
        <v>307.27999999999997</v>
      </c>
      <c r="T225" s="1">
        <v>377</v>
      </c>
      <c r="U225" s="1">
        <v>1.82</v>
      </c>
      <c r="V225" s="1">
        <v>9.4</v>
      </c>
      <c r="W225" s="1">
        <v>0.05</v>
      </c>
      <c r="X225" s="1">
        <f t="shared" si="34"/>
        <v>50</v>
      </c>
      <c r="Y225" s="1">
        <v>3.3000000000000002E-2</v>
      </c>
      <c r="Z225" s="1">
        <v>8.0000000000000002E-3</v>
      </c>
      <c r="AA225" s="1">
        <v>2.99412388392857</v>
      </c>
      <c r="AB225" s="1">
        <v>6.8</v>
      </c>
      <c r="AC225" s="1">
        <v>25</v>
      </c>
      <c r="AD225" s="1" t="s">
        <v>66</v>
      </c>
      <c r="AE225" s="1">
        <v>10</v>
      </c>
      <c r="AH225" s="1">
        <v>0.25066982608695798</v>
      </c>
      <c r="AJ225" s="1">
        <f t="shared" si="27"/>
        <v>0.74933017391304202</v>
      </c>
      <c r="AK225" s="1">
        <f t="shared" ref="AK225:AK297" si="38">LN(AJ225)</f>
        <v>-0.28857557295377168</v>
      </c>
      <c r="AM225">
        <v>29</v>
      </c>
      <c r="AN225">
        <f>IF(ISNUMBER(AJ225),IF(AJ225&gt;=0.05,1,0),"")</f>
        <v>1</v>
      </c>
      <c r="AO225">
        <f>IF(ISNUMBER(AJ225),IF(AJ225&lt;0.005,1,0),"")</f>
        <v>0</v>
      </c>
      <c r="AQ225" s="34"/>
      <c r="AR225" s="35"/>
      <c r="AS225" s="36"/>
    </row>
    <row r="226" spans="1:45" ht="42.75" x14ac:dyDescent="0.45">
      <c r="A226" s="1" t="s">
        <v>71</v>
      </c>
      <c r="B226" s="1" t="s">
        <v>65</v>
      </c>
      <c r="C226" s="1">
        <v>106</v>
      </c>
      <c r="D226" s="1">
        <v>250.28</v>
      </c>
      <c r="E226" s="1">
        <v>-0.1</v>
      </c>
      <c r="F226" s="1">
        <v>1.57</v>
      </c>
      <c r="G226" s="1">
        <v>1.93</v>
      </c>
      <c r="H226" s="1">
        <v>0.87</v>
      </c>
      <c r="I226" s="1">
        <v>0.86</v>
      </c>
      <c r="J226" s="1">
        <v>1.49</v>
      </c>
      <c r="K226" s="1" t="s">
        <v>67</v>
      </c>
      <c r="M226" s="1">
        <v>0.42</v>
      </c>
      <c r="N226" s="1">
        <v>1.1499999999999999</v>
      </c>
      <c r="P226" s="1">
        <v>7.2</v>
      </c>
      <c r="Q226" s="1">
        <v>35.5</v>
      </c>
      <c r="R226" s="1" t="s">
        <v>72</v>
      </c>
      <c r="S226" s="1">
        <v>307.27999999999997</v>
      </c>
      <c r="T226" s="1">
        <v>377</v>
      </c>
      <c r="U226" s="1">
        <v>1.82</v>
      </c>
      <c r="V226" s="1">
        <v>9.4</v>
      </c>
      <c r="W226" s="1">
        <v>0.05</v>
      </c>
      <c r="X226" s="1">
        <f t="shared" si="34"/>
        <v>50</v>
      </c>
      <c r="Y226" s="1">
        <v>3.3000000000000002E-2</v>
      </c>
      <c r="Z226" s="1">
        <v>8.0000000000000002E-3</v>
      </c>
      <c r="AA226" s="1">
        <v>5.05545267857143</v>
      </c>
      <c r="AB226" s="1">
        <v>6.8</v>
      </c>
      <c r="AC226" s="1">
        <v>25</v>
      </c>
      <c r="AD226" s="1" t="s">
        <v>66</v>
      </c>
      <c r="AE226" s="1">
        <v>10</v>
      </c>
      <c r="AH226" s="1">
        <v>0.360172826086957</v>
      </c>
      <c r="AJ226" s="1">
        <f t="shared" ref="AJ226:AJ298" si="39">1-AH226</f>
        <v>0.639827173913043</v>
      </c>
      <c r="AK226" s="1">
        <f t="shared" si="38"/>
        <v>-0.44655717985686139</v>
      </c>
      <c r="AM226">
        <v>29</v>
      </c>
      <c r="AN226">
        <f>IF(ISNUMBER(AJ226),IF(AJ226&gt;=0.05,1,0),"")</f>
        <v>1</v>
      </c>
      <c r="AO226">
        <f>IF(ISNUMBER(AJ226),IF(AJ226&lt;0.005,1,0),"")</f>
        <v>0</v>
      </c>
      <c r="AQ226" s="34"/>
      <c r="AR226" s="35"/>
      <c r="AS226" s="36"/>
    </row>
    <row r="227" spans="1:45" ht="42.75" x14ac:dyDescent="0.45">
      <c r="A227" s="1" t="s">
        <v>71</v>
      </c>
      <c r="B227" s="1" t="s">
        <v>65</v>
      </c>
      <c r="C227" s="1">
        <v>106</v>
      </c>
      <c r="D227" s="1">
        <v>250.28</v>
      </c>
      <c r="E227" s="1">
        <v>-0.1</v>
      </c>
      <c r="F227" s="1">
        <v>1.57</v>
      </c>
      <c r="G227" s="1">
        <v>1.93</v>
      </c>
      <c r="H227" s="1">
        <v>0.87</v>
      </c>
      <c r="I227" s="1">
        <v>0.86</v>
      </c>
      <c r="J227" s="1">
        <v>1.49</v>
      </c>
      <c r="K227" s="1" t="s">
        <v>67</v>
      </c>
      <c r="M227" s="1">
        <v>0.42</v>
      </c>
      <c r="N227" s="1">
        <v>1.1499999999999999</v>
      </c>
      <c r="P227" s="1">
        <v>7.2</v>
      </c>
      <c r="Q227" s="1">
        <v>35.5</v>
      </c>
      <c r="R227" s="1" t="s">
        <v>72</v>
      </c>
      <c r="S227" s="1">
        <v>307.27999999999997</v>
      </c>
      <c r="T227" s="1">
        <v>377</v>
      </c>
      <c r="U227" s="1">
        <v>1.82</v>
      </c>
      <c r="V227" s="1">
        <v>9.4</v>
      </c>
      <c r="W227" s="1">
        <v>0.05</v>
      </c>
      <c r="X227" s="1">
        <f t="shared" si="34"/>
        <v>50</v>
      </c>
      <c r="Y227" s="1">
        <v>3.3000000000000002E-2</v>
      </c>
      <c r="Z227" s="1">
        <v>8.0000000000000002E-3</v>
      </c>
      <c r="AA227" s="1">
        <v>8.0537491071428509</v>
      </c>
      <c r="AB227" s="1">
        <v>6.8</v>
      </c>
      <c r="AC227" s="1">
        <v>25</v>
      </c>
      <c r="AD227" s="1" t="s">
        <v>66</v>
      </c>
      <c r="AE227" s="1">
        <v>10</v>
      </c>
      <c r="AH227" s="1">
        <v>0.46967582608695702</v>
      </c>
      <c r="AJ227" s="1">
        <f t="shared" si="39"/>
        <v>0.53032417391304298</v>
      </c>
      <c r="AK227" s="1">
        <f t="shared" si="38"/>
        <v>-0.63426681052437894</v>
      </c>
      <c r="AM227">
        <v>29</v>
      </c>
      <c r="AN227">
        <f>IF(ISNUMBER(AJ227),IF(AJ227&gt;=0.05,1,0),"")</f>
        <v>1</v>
      </c>
      <c r="AO227">
        <f>IF(ISNUMBER(AJ227),IF(AJ227&lt;0.005,1,0),"")</f>
        <v>0</v>
      </c>
      <c r="AQ227" s="34"/>
      <c r="AR227" s="35"/>
      <c r="AS227" s="36"/>
    </row>
    <row r="228" spans="1:45" ht="42.75" x14ac:dyDescent="0.45">
      <c r="A228" s="1" t="s">
        <v>71</v>
      </c>
      <c r="B228" s="1" t="s">
        <v>65</v>
      </c>
      <c r="C228" s="1">
        <v>106</v>
      </c>
      <c r="D228" s="1">
        <v>250.28</v>
      </c>
      <c r="E228" s="1">
        <v>-0.1</v>
      </c>
      <c r="F228" s="1">
        <v>1.57</v>
      </c>
      <c r="G228" s="1">
        <v>1.93</v>
      </c>
      <c r="H228" s="1">
        <v>0.87</v>
      </c>
      <c r="I228" s="1">
        <v>0.86</v>
      </c>
      <c r="J228" s="1">
        <v>1.49</v>
      </c>
      <c r="K228" s="1" t="s">
        <v>67</v>
      </c>
      <c r="M228" s="1">
        <v>0.42</v>
      </c>
      <c r="N228" s="1">
        <v>1.1499999999999999</v>
      </c>
      <c r="P228" s="1">
        <v>7.2</v>
      </c>
      <c r="Q228" s="1">
        <v>35.5</v>
      </c>
      <c r="R228" s="1" t="s">
        <v>72</v>
      </c>
      <c r="S228" s="1">
        <v>307.27999999999997</v>
      </c>
      <c r="T228" s="1">
        <v>377</v>
      </c>
      <c r="U228" s="1">
        <v>1.82</v>
      </c>
      <c r="V228" s="1">
        <v>9.4</v>
      </c>
      <c r="W228" s="1">
        <v>0.05</v>
      </c>
      <c r="X228" s="1">
        <f t="shared" si="34"/>
        <v>50</v>
      </c>
      <c r="Y228" s="1">
        <v>3.3000000000000002E-2</v>
      </c>
      <c r="Z228" s="1">
        <v>8.0000000000000002E-3</v>
      </c>
      <c r="AA228" s="1">
        <v>11.9265486607142</v>
      </c>
      <c r="AB228" s="1">
        <v>6.8</v>
      </c>
      <c r="AC228" s="1">
        <v>25</v>
      </c>
      <c r="AD228" s="1" t="s">
        <v>66</v>
      </c>
      <c r="AE228" s="1">
        <v>10</v>
      </c>
      <c r="AH228" s="1">
        <v>0.59438757608695703</v>
      </c>
      <c r="AJ228" s="1">
        <f t="shared" si="39"/>
        <v>0.40561242391304297</v>
      </c>
      <c r="AK228" s="1">
        <f t="shared" si="38"/>
        <v>-0.90235719622496458</v>
      </c>
      <c r="AM228">
        <v>29</v>
      </c>
      <c r="AN228">
        <f>IF(ISNUMBER(AJ228),IF(AJ228&gt;=0.05,1,0),"")</f>
        <v>1</v>
      </c>
      <c r="AO228">
        <f>IF(ISNUMBER(AJ228),IF(AJ228&lt;0.005,1,0),"")</f>
        <v>0</v>
      </c>
      <c r="AQ228" s="34"/>
      <c r="AR228" s="35"/>
      <c r="AS228" s="36"/>
    </row>
    <row r="229" spans="1:45" ht="42.75" x14ac:dyDescent="0.45">
      <c r="A229" s="1" t="s">
        <v>71</v>
      </c>
      <c r="B229" s="1" t="s">
        <v>65</v>
      </c>
      <c r="C229" s="1">
        <v>106</v>
      </c>
      <c r="D229" s="1">
        <v>250.28</v>
      </c>
      <c r="E229" s="1">
        <v>-0.1</v>
      </c>
      <c r="F229" s="1">
        <v>1.57</v>
      </c>
      <c r="G229" s="1">
        <v>1.93</v>
      </c>
      <c r="H229" s="1">
        <v>0.87</v>
      </c>
      <c r="I229" s="1">
        <v>0.86</v>
      </c>
      <c r="J229" s="1">
        <v>1.49</v>
      </c>
      <c r="K229" s="1" t="s">
        <v>67</v>
      </c>
      <c r="M229" s="1">
        <v>0.42</v>
      </c>
      <c r="N229" s="1">
        <v>1.1499999999999999</v>
      </c>
      <c r="P229" s="1">
        <v>7.2</v>
      </c>
      <c r="Q229" s="1">
        <v>35.5</v>
      </c>
      <c r="R229" s="1" t="s">
        <v>72</v>
      </c>
      <c r="S229" s="1">
        <v>307.27999999999997</v>
      </c>
      <c r="T229" s="1">
        <v>377</v>
      </c>
      <c r="U229" s="1">
        <v>1.82</v>
      </c>
      <c r="V229" s="1">
        <v>9.4</v>
      </c>
      <c r="W229" s="1">
        <v>0.05</v>
      </c>
      <c r="X229" s="1">
        <f t="shared" si="34"/>
        <v>50</v>
      </c>
      <c r="Y229" s="1">
        <v>3.3000000000000002E-2</v>
      </c>
      <c r="Z229" s="1">
        <v>8.0000000000000002E-3</v>
      </c>
      <c r="AA229" s="1">
        <v>15.9867417410714</v>
      </c>
      <c r="AB229" s="1">
        <v>6.8</v>
      </c>
      <c r="AC229" s="1">
        <v>25</v>
      </c>
      <c r="AD229" s="1" t="s">
        <v>66</v>
      </c>
      <c r="AE229" s="1">
        <v>10</v>
      </c>
      <c r="AH229" s="1">
        <v>0.63088857608695692</v>
      </c>
      <c r="AJ229" s="1">
        <f t="shared" si="39"/>
        <v>0.36911142391304308</v>
      </c>
      <c r="AK229" s="1">
        <f t="shared" si="38"/>
        <v>-0.99665671869894079</v>
      </c>
      <c r="AM229">
        <v>29</v>
      </c>
      <c r="AN229">
        <f>IF(ISNUMBER(AJ229),IF(AJ229&gt;=0.05,1,0),"")</f>
        <v>1</v>
      </c>
      <c r="AO229">
        <f>IF(ISNUMBER(AJ229),IF(AJ229&lt;0.005,1,0),"")</f>
        <v>0</v>
      </c>
      <c r="AQ229" s="34"/>
      <c r="AR229" s="35"/>
      <c r="AS229" s="36"/>
    </row>
    <row r="230" spans="1:45" ht="42.75" x14ac:dyDescent="0.45">
      <c r="A230" s="1" t="s">
        <v>71</v>
      </c>
      <c r="B230" s="1" t="s">
        <v>65</v>
      </c>
      <c r="C230" s="1">
        <v>106</v>
      </c>
      <c r="D230" s="1">
        <v>250.28</v>
      </c>
      <c r="E230" s="1">
        <v>-0.1</v>
      </c>
      <c r="F230" s="1">
        <v>1.57</v>
      </c>
      <c r="G230" s="1">
        <v>1.93</v>
      </c>
      <c r="H230" s="1">
        <v>0.87</v>
      </c>
      <c r="I230" s="1">
        <v>0.86</v>
      </c>
      <c r="J230" s="1">
        <v>1.49</v>
      </c>
      <c r="K230" s="1" t="s">
        <v>67</v>
      </c>
      <c r="M230" s="1">
        <v>0.42</v>
      </c>
      <c r="N230" s="1">
        <v>1.1499999999999999</v>
      </c>
      <c r="P230" s="1">
        <v>7.2</v>
      </c>
      <c r="Q230" s="1">
        <v>35.5</v>
      </c>
      <c r="R230" s="1" t="s">
        <v>72</v>
      </c>
      <c r="S230" s="1">
        <v>307.27999999999997</v>
      </c>
      <c r="T230" s="1">
        <v>377</v>
      </c>
      <c r="U230" s="1">
        <v>1.82</v>
      </c>
      <c r="V230" s="1">
        <v>9.4</v>
      </c>
      <c r="W230" s="1">
        <v>0.05</v>
      </c>
      <c r="X230" s="1">
        <f t="shared" si="34"/>
        <v>50</v>
      </c>
      <c r="Y230" s="1">
        <v>3.3000000000000002E-2</v>
      </c>
      <c r="Z230" s="1">
        <v>8.0000000000000002E-3</v>
      </c>
      <c r="AA230" s="1">
        <v>23.919734374999901</v>
      </c>
      <c r="AB230" s="1">
        <v>6.8</v>
      </c>
      <c r="AC230" s="1">
        <v>25</v>
      </c>
      <c r="AD230" s="1" t="s">
        <v>66</v>
      </c>
      <c r="AE230" s="1">
        <v>10</v>
      </c>
      <c r="AH230" s="1">
        <v>0.79818482608695596</v>
      </c>
      <c r="AJ230" s="1">
        <f t="shared" si="39"/>
        <v>0.20181517391304404</v>
      </c>
      <c r="AK230" s="1">
        <f t="shared" si="38"/>
        <v>-1.6004029810597151</v>
      </c>
      <c r="AM230">
        <v>29</v>
      </c>
      <c r="AN230">
        <f>IF(ISNUMBER(AJ230),IF(AJ230&gt;=0.05,1,0),"")</f>
        <v>1</v>
      </c>
      <c r="AO230">
        <f>IF(ISNUMBER(AJ230),IF(AJ230&lt;0.005,1,0),"")</f>
        <v>0</v>
      </c>
      <c r="AQ230" s="34"/>
      <c r="AR230" s="35"/>
      <c r="AS230" s="36"/>
    </row>
    <row r="231" spans="1:45" ht="42.75" x14ac:dyDescent="0.45">
      <c r="A231" s="1" t="s">
        <v>71</v>
      </c>
      <c r="B231" s="1" t="s">
        <v>65</v>
      </c>
      <c r="C231" s="1">
        <v>106</v>
      </c>
      <c r="D231" s="1">
        <v>250.28</v>
      </c>
      <c r="E231" s="1">
        <v>-0.1</v>
      </c>
      <c r="F231" s="1">
        <v>1.57</v>
      </c>
      <c r="G231" s="1">
        <v>1.93</v>
      </c>
      <c r="H231" s="1">
        <v>0.87</v>
      </c>
      <c r="I231" s="1">
        <v>0.86</v>
      </c>
      <c r="J231" s="1">
        <v>1.49</v>
      </c>
      <c r="K231" s="1" t="s">
        <v>67</v>
      </c>
      <c r="M231" s="1">
        <v>0.42</v>
      </c>
      <c r="N231" s="1">
        <v>1.1499999999999999</v>
      </c>
      <c r="P231" s="1">
        <v>7.2</v>
      </c>
      <c r="Q231" s="1">
        <v>35.5</v>
      </c>
      <c r="R231" s="1" t="s">
        <v>72</v>
      </c>
      <c r="S231" s="1">
        <v>307.27999999999997</v>
      </c>
      <c r="T231" s="1">
        <v>377</v>
      </c>
      <c r="U231" s="1">
        <v>1.82</v>
      </c>
      <c r="V231" s="1">
        <v>9.4</v>
      </c>
      <c r="W231" s="1">
        <v>0.08</v>
      </c>
      <c r="X231" s="1">
        <f t="shared" si="34"/>
        <v>80</v>
      </c>
      <c r="Y231" s="1">
        <v>3.3000000000000002E-2</v>
      </c>
      <c r="Z231" s="1">
        <v>8.0000000000000002E-3</v>
      </c>
      <c r="AA231" s="1">
        <v>0</v>
      </c>
      <c r="AB231" s="1">
        <v>6.8</v>
      </c>
      <c r="AC231" s="1">
        <v>25</v>
      </c>
      <c r="AD231" s="1" t="s">
        <v>66</v>
      </c>
      <c r="AE231" s="1">
        <v>10</v>
      </c>
      <c r="AH231" s="1">
        <v>0</v>
      </c>
      <c r="AI231" s="1">
        <f>-AK238/AA238</f>
        <v>0.13324900663057693</v>
      </c>
      <c r="AJ231" s="1">
        <f t="shared" ref="AJ231" si="40">1-AH231</f>
        <v>1</v>
      </c>
      <c r="AK231" s="1">
        <f t="shared" si="38"/>
        <v>0</v>
      </c>
      <c r="AL231" s="1">
        <v>0.13290911914256601</v>
      </c>
      <c r="AM231">
        <v>30</v>
      </c>
      <c r="AN231">
        <f>IF(ISNUMBER(AJ231),IF(AJ231&gt;=0.05,1,0),"")</f>
        <v>1</v>
      </c>
      <c r="AO231">
        <f>IF(ISNUMBER(AJ231),IF(AJ231&lt;0.005,1,0),"")</f>
        <v>0</v>
      </c>
      <c r="AP231">
        <f>IFERROR(MATCH(0,AN231:AN238,0)-1,8)</f>
        <v>7</v>
      </c>
      <c r="AQ231" s="34">
        <f>IF(AP231&lt;3,"n&lt;3",IFERROR(-SLOPE(AK231:INDEX(AK231:AK238,AP231),AA231:INDEX(AA231:AA238,AP231)),"no fit"))</f>
        <v>8.9355198473731343E-2</v>
      </c>
      <c r="AR231" s="35">
        <f>IF(AP231&lt;3,"",IFERROR(RSQ(AK231:INDEX(AK231:AK238,AP231),AA231:INDEX(AA231:AA238,AP231)),"flat"))</f>
        <v>0.98902685129405288</v>
      </c>
      <c r="AS231" s="36">
        <f>IFERROR(AQ231/AI231,"")</f>
        <v>0.67058810217971876</v>
      </c>
    </row>
    <row r="232" spans="1:45" ht="42.75" x14ac:dyDescent="0.45">
      <c r="A232" s="1" t="s">
        <v>71</v>
      </c>
      <c r="B232" s="1" t="s">
        <v>65</v>
      </c>
      <c r="C232" s="1">
        <v>106</v>
      </c>
      <c r="D232" s="1">
        <v>250.28</v>
      </c>
      <c r="E232" s="1">
        <v>-0.1</v>
      </c>
      <c r="F232" s="1">
        <v>1.57</v>
      </c>
      <c r="G232" s="1">
        <v>1.93</v>
      </c>
      <c r="H232" s="1">
        <v>0.87</v>
      </c>
      <c r="I232" s="1">
        <v>0.86</v>
      </c>
      <c r="J232" s="1">
        <v>1.49</v>
      </c>
      <c r="K232" s="1" t="s">
        <v>67</v>
      </c>
      <c r="M232" s="1">
        <v>0.42</v>
      </c>
      <c r="N232" s="1">
        <v>1.1499999999999999</v>
      </c>
      <c r="P232" s="1">
        <v>7.2</v>
      </c>
      <c r="Q232" s="1">
        <v>35.5</v>
      </c>
      <c r="R232" s="1" t="s">
        <v>72</v>
      </c>
      <c r="S232" s="1">
        <v>307.27999999999997</v>
      </c>
      <c r="T232" s="1">
        <v>377</v>
      </c>
      <c r="U232" s="1">
        <v>1.82</v>
      </c>
      <c r="V232" s="1">
        <v>9.4</v>
      </c>
      <c r="W232" s="1">
        <v>0.08</v>
      </c>
      <c r="X232" s="1">
        <f t="shared" si="34"/>
        <v>80</v>
      </c>
      <c r="Y232" s="1">
        <v>3.3000000000000002E-2</v>
      </c>
      <c r="Z232" s="1">
        <v>8.0000000000000002E-3</v>
      </c>
      <c r="AA232" s="1">
        <v>1.2451176339285699</v>
      </c>
      <c r="AB232" s="1">
        <v>6.8</v>
      </c>
      <c r="AC232" s="1">
        <v>25</v>
      </c>
      <c r="AD232" s="1" t="s">
        <v>66</v>
      </c>
      <c r="AE232" s="1">
        <v>10</v>
      </c>
      <c r="AH232" s="1">
        <v>0.15941732608695702</v>
      </c>
      <c r="AJ232" s="1">
        <f t="shared" si="39"/>
        <v>0.84058267391304298</v>
      </c>
      <c r="AK232" s="1">
        <f t="shared" si="38"/>
        <v>-0.17365996819498752</v>
      </c>
      <c r="AM232">
        <v>30</v>
      </c>
      <c r="AN232">
        <f>IF(ISNUMBER(AJ232),IF(AJ232&gt;=0.05,1,0),"")</f>
        <v>1</v>
      </c>
      <c r="AO232">
        <f>IF(ISNUMBER(AJ232),IF(AJ232&lt;0.005,1,0),"")</f>
        <v>0</v>
      </c>
      <c r="AQ232" s="34"/>
      <c r="AR232" s="35"/>
      <c r="AS232" s="36"/>
    </row>
    <row r="233" spans="1:45" ht="42.75" x14ac:dyDescent="0.45">
      <c r="A233" s="1" t="s">
        <v>71</v>
      </c>
      <c r="B233" s="1" t="s">
        <v>65</v>
      </c>
      <c r="C233" s="1">
        <v>106</v>
      </c>
      <c r="D233" s="1">
        <v>250.28</v>
      </c>
      <c r="E233" s="1">
        <v>-0.1</v>
      </c>
      <c r="F233" s="1">
        <v>1.57</v>
      </c>
      <c r="G233" s="1">
        <v>1.93</v>
      </c>
      <c r="H233" s="1">
        <v>0.87</v>
      </c>
      <c r="I233" s="1">
        <v>0.86</v>
      </c>
      <c r="J233" s="1">
        <v>1.49</v>
      </c>
      <c r="K233" s="1" t="s">
        <v>67</v>
      </c>
      <c r="M233" s="1">
        <v>0.42</v>
      </c>
      <c r="N233" s="1">
        <v>1.1499999999999999</v>
      </c>
      <c r="P233" s="1">
        <v>7.2</v>
      </c>
      <c r="Q233" s="1">
        <v>35.5</v>
      </c>
      <c r="R233" s="1" t="s">
        <v>72</v>
      </c>
      <c r="S233" s="1">
        <v>307.27999999999997</v>
      </c>
      <c r="T233" s="1">
        <v>377</v>
      </c>
      <c r="U233" s="1">
        <v>1.82</v>
      </c>
      <c r="V233" s="1">
        <v>9.4</v>
      </c>
      <c r="W233" s="1">
        <v>0.08</v>
      </c>
      <c r="X233" s="1">
        <f t="shared" si="34"/>
        <v>80</v>
      </c>
      <c r="Y233" s="1">
        <v>3.3000000000000002E-2</v>
      </c>
      <c r="Z233" s="1">
        <v>8.0000000000000002E-3</v>
      </c>
      <c r="AA233" s="1">
        <v>2.99412388392857</v>
      </c>
      <c r="AB233" s="1">
        <v>6.8</v>
      </c>
      <c r="AC233" s="1">
        <v>25</v>
      </c>
      <c r="AD233" s="1" t="s">
        <v>66</v>
      </c>
      <c r="AE233" s="1">
        <v>10</v>
      </c>
      <c r="AH233" s="1">
        <v>0.25979507608695795</v>
      </c>
      <c r="AJ233" s="1">
        <f t="shared" si="39"/>
        <v>0.74020492391304205</v>
      </c>
      <c r="AK233" s="1">
        <f t="shared" si="38"/>
        <v>-0.30082820691353884</v>
      </c>
      <c r="AM233">
        <v>30</v>
      </c>
      <c r="AN233">
        <f>IF(ISNUMBER(AJ233),IF(AJ233&gt;=0.05,1,0),"")</f>
        <v>1</v>
      </c>
      <c r="AO233">
        <f>IF(ISNUMBER(AJ233),IF(AJ233&lt;0.005,1,0),"")</f>
        <v>0</v>
      </c>
      <c r="AQ233" s="34"/>
      <c r="AR233" s="35"/>
      <c r="AS233" s="36"/>
    </row>
    <row r="234" spans="1:45" ht="42.75" x14ac:dyDescent="0.45">
      <c r="A234" s="1" t="s">
        <v>71</v>
      </c>
      <c r="B234" s="1" t="s">
        <v>65</v>
      </c>
      <c r="C234" s="1">
        <v>106</v>
      </c>
      <c r="D234" s="1">
        <v>250.28</v>
      </c>
      <c r="E234" s="1">
        <v>-0.1</v>
      </c>
      <c r="F234" s="1">
        <v>1.57</v>
      </c>
      <c r="G234" s="1">
        <v>1.93</v>
      </c>
      <c r="H234" s="1">
        <v>0.87</v>
      </c>
      <c r="I234" s="1">
        <v>0.86</v>
      </c>
      <c r="J234" s="1">
        <v>1.49</v>
      </c>
      <c r="K234" s="1" t="s">
        <v>67</v>
      </c>
      <c r="M234" s="1">
        <v>0.42</v>
      </c>
      <c r="N234" s="1">
        <v>1.1499999999999999</v>
      </c>
      <c r="P234" s="1">
        <v>7.2</v>
      </c>
      <c r="Q234" s="1">
        <v>35.5</v>
      </c>
      <c r="R234" s="1" t="s">
        <v>72</v>
      </c>
      <c r="S234" s="1">
        <v>307.27999999999997</v>
      </c>
      <c r="T234" s="1">
        <v>377</v>
      </c>
      <c r="U234" s="1">
        <v>1.82</v>
      </c>
      <c r="V234" s="1">
        <v>9.4</v>
      </c>
      <c r="W234" s="1">
        <v>0.08</v>
      </c>
      <c r="X234" s="1">
        <f t="shared" si="34"/>
        <v>80</v>
      </c>
      <c r="Y234" s="1">
        <v>3.3000000000000002E-2</v>
      </c>
      <c r="Z234" s="1">
        <v>8.0000000000000002E-3</v>
      </c>
      <c r="AA234" s="1">
        <v>4.9929881696428504</v>
      </c>
      <c r="AB234" s="1">
        <v>6.8</v>
      </c>
      <c r="AC234" s="1">
        <v>25</v>
      </c>
      <c r="AD234" s="1" t="s">
        <v>66</v>
      </c>
      <c r="AE234" s="1">
        <v>10</v>
      </c>
      <c r="AH234" s="1">
        <v>0.32975532608695801</v>
      </c>
      <c r="AJ234" s="1">
        <f t="shared" si="39"/>
        <v>0.67024467391304199</v>
      </c>
      <c r="AK234" s="1">
        <f t="shared" si="38"/>
        <v>-0.40011244831607923</v>
      </c>
      <c r="AM234">
        <v>30</v>
      </c>
      <c r="AN234">
        <f>IF(ISNUMBER(AJ234),IF(AJ234&gt;=0.05,1,0),"")</f>
        <v>1</v>
      </c>
      <c r="AO234">
        <f>IF(ISNUMBER(AJ234),IF(AJ234&lt;0.005,1,0),"")</f>
        <v>0</v>
      </c>
      <c r="AQ234" s="34"/>
      <c r="AR234" s="35"/>
      <c r="AS234" s="36"/>
    </row>
    <row r="235" spans="1:45" ht="42.75" x14ac:dyDescent="0.45">
      <c r="A235" s="1" t="s">
        <v>71</v>
      </c>
      <c r="B235" s="1" t="s">
        <v>65</v>
      </c>
      <c r="C235" s="1">
        <v>106</v>
      </c>
      <c r="D235" s="1">
        <v>250.28</v>
      </c>
      <c r="E235" s="1">
        <v>-0.1</v>
      </c>
      <c r="F235" s="1">
        <v>1.57</v>
      </c>
      <c r="G235" s="1">
        <v>1.93</v>
      </c>
      <c r="H235" s="1">
        <v>0.87</v>
      </c>
      <c r="I235" s="1">
        <v>0.86</v>
      </c>
      <c r="J235" s="1">
        <v>1.49</v>
      </c>
      <c r="K235" s="1" t="s">
        <v>67</v>
      </c>
      <c r="M235" s="1">
        <v>0.42</v>
      </c>
      <c r="N235" s="1">
        <v>1.1499999999999999</v>
      </c>
      <c r="P235" s="1">
        <v>7.2</v>
      </c>
      <c r="Q235" s="1">
        <v>35.5</v>
      </c>
      <c r="R235" s="1" t="s">
        <v>72</v>
      </c>
      <c r="S235" s="1">
        <v>307.27999999999997</v>
      </c>
      <c r="T235" s="1">
        <v>377</v>
      </c>
      <c r="U235" s="1">
        <v>1.82</v>
      </c>
      <c r="V235" s="1">
        <v>9.4</v>
      </c>
      <c r="W235" s="1">
        <v>0.08</v>
      </c>
      <c r="X235" s="1">
        <f t="shared" si="34"/>
        <v>80</v>
      </c>
      <c r="Y235" s="1">
        <v>3.3000000000000002E-2</v>
      </c>
      <c r="Z235" s="1">
        <v>8.0000000000000002E-3</v>
      </c>
      <c r="AA235" s="1">
        <v>7.9288200892857104</v>
      </c>
      <c r="AB235" s="1">
        <v>6.8</v>
      </c>
      <c r="AC235" s="1">
        <v>25</v>
      </c>
      <c r="AD235" s="1" t="s">
        <v>66</v>
      </c>
      <c r="AE235" s="1">
        <v>10</v>
      </c>
      <c r="AH235" s="1">
        <v>0.54876132608695705</v>
      </c>
      <c r="AJ235" s="1">
        <f t="shared" si="39"/>
        <v>0.45123867391304295</v>
      </c>
      <c r="AK235" s="1">
        <f t="shared" si="38"/>
        <v>-0.79575886901171833</v>
      </c>
      <c r="AM235">
        <v>30</v>
      </c>
      <c r="AN235">
        <f>IF(ISNUMBER(AJ235),IF(AJ235&gt;=0.05,1,0),"")</f>
        <v>1</v>
      </c>
      <c r="AO235">
        <f>IF(ISNUMBER(AJ235),IF(AJ235&lt;0.005,1,0),"")</f>
        <v>0</v>
      </c>
      <c r="AQ235" s="34"/>
      <c r="AR235" s="35"/>
      <c r="AS235" s="36"/>
    </row>
    <row r="236" spans="1:45" ht="42.75" x14ac:dyDescent="0.45">
      <c r="A236" s="1" t="s">
        <v>71</v>
      </c>
      <c r="B236" s="1" t="s">
        <v>65</v>
      </c>
      <c r="C236" s="1">
        <v>106</v>
      </c>
      <c r="D236" s="1">
        <v>250.28</v>
      </c>
      <c r="E236" s="1">
        <v>-0.1</v>
      </c>
      <c r="F236" s="1">
        <v>1.57</v>
      </c>
      <c r="G236" s="1">
        <v>1.93</v>
      </c>
      <c r="H236" s="1">
        <v>0.87</v>
      </c>
      <c r="I236" s="1">
        <v>0.86</v>
      </c>
      <c r="J236" s="1">
        <v>1.49</v>
      </c>
      <c r="K236" s="1" t="s">
        <v>67</v>
      </c>
      <c r="M236" s="1">
        <v>0.42</v>
      </c>
      <c r="N236" s="1">
        <v>1.1499999999999999</v>
      </c>
      <c r="P236" s="1">
        <v>7.2</v>
      </c>
      <c r="Q236" s="1">
        <v>35.5</v>
      </c>
      <c r="R236" s="1" t="s">
        <v>72</v>
      </c>
      <c r="S236" s="1">
        <v>307.27999999999997</v>
      </c>
      <c r="T236" s="1">
        <v>377</v>
      </c>
      <c r="U236" s="1">
        <v>1.82</v>
      </c>
      <c r="V236" s="1">
        <v>9.4</v>
      </c>
      <c r="W236" s="1">
        <v>0.08</v>
      </c>
      <c r="X236" s="1">
        <f t="shared" si="34"/>
        <v>80</v>
      </c>
      <c r="Y236" s="1">
        <v>3.3000000000000002E-2</v>
      </c>
      <c r="Z236" s="1">
        <v>8.0000000000000002E-3</v>
      </c>
      <c r="AA236" s="1">
        <v>12.0514776785714</v>
      </c>
      <c r="AB236" s="1">
        <v>6.8</v>
      </c>
      <c r="AC236" s="1">
        <v>25</v>
      </c>
      <c r="AD236" s="1" t="s">
        <v>66</v>
      </c>
      <c r="AE236" s="1">
        <v>10</v>
      </c>
      <c r="AH236" s="1">
        <v>0.64001382608695701</v>
      </c>
      <c r="AJ236" s="1">
        <f t="shared" si="39"/>
        <v>0.35998617391304299</v>
      </c>
      <c r="AK236" s="1">
        <f t="shared" si="38"/>
        <v>-1.0216896540666056</v>
      </c>
      <c r="AM236">
        <v>30</v>
      </c>
      <c r="AN236">
        <f>IF(ISNUMBER(AJ236),IF(AJ236&gt;=0.05,1,0),"")</f>
        <v>1</v>
      </c>
      <c r="AO236">
        <f>IF(ISNUMBER(AJ236),IF(AJ236&lt;0.005,1,0),"")</f>
        <v>0</v>
      </c>
      <c r="AQ236" s="34"/>
      <c r="AR236" s="35"/>
      <c r="AS236" s="36"/>
    </row>
    <row r="237" spans="1:45" ht="42.75" x14ac:dyDescent="0.45">
      <c r="A237" s="1" t="s">
        <v>71</v>
      </c>
      <c r="B237" s="1" t="s">
        <v>65</v>
      </c>
      <c r="C237" s="1">
        <v>106</v>
      </c>
      <c r="D237" s="1">
        <v>250.28</v>
      </c>
      <c r="E237" s="1">
        <v>-0.1</v>
      </c>
      <c r="F237" s="1">
        <v>1.57</v>
      </c>
      <c r="G237" s="1">
        <v>1.93</v>
      </c>
      <c r="H237" s="1">
        <v>0.87</v>
      </c>
      <c r="I237" s="1">
        <v>0.86</v>
      </c>
      <c r="J237" s="1">
        <v>1.49</v>
      </c>
      <c r="K237" s="1" t="s">
        <v>67</v>
      </c>
      <c r="M237" s="1">
        <v>0.42</v>
      </c>
      <c r="N237" s="1">
        <v>1.1499999999999999</v>
      </c>
      <c r="P237" s="1">
        <v>7.2</v>
      </c>
      <c r="Q237" s="1">
        <v>35.5</v>
      </c>
      <c r="R237" s="1" t="s">
        <v>72</v>
      </c>
      <c r="S237" s="1">
        <v>307.27999999999997</v>
      </c>
      <c r="T237" s="1">
        <v>377</v>
      </c>
      <c r="U237" s="1">
        <v>1.82</v>
      </c>
      <c r="V237" s="1">
        <v>9.4</v>
      </c>
      <c r="W237" s="1">
        <v>0.08</v>
      </c>
      <c r="X237" s="1">
        <f t="shared" si="34"/>
        <v>80</v>
      </c>
      <c r="Y237" s="1">
        <v>3.3000000000000002E-2</v>
      </c>
      <c r="Z237" s="1">
        <v>8.0000000000000002E-3</v>
      </c>
      <c r="AA237" s="1">
        <v>15.9867417410714</v>
      </c>
      <c r="AB237" s="1">
        <v>6.8</v>
      </c>
      <c r="AC237" s="1">
        <v>25</v>
      </c>
      <c r="AD237" s="1" t="s">
        <v>66</v>
      </c>
      <c r="AE237" s="1">
        <v>10</v>
      </c>
      <c r="AH237" s="1">
        <v>0.77385082608695599</v>
      </c>
      <c r="AJ237" s="1">
        <f t="shared" si="39"/>
        <v>0.22614917391304401</v>
      </c>
      <c r="AK237" s="1">
        <f t="shared" si="38"/>
        <v>-1.4865604358925311</v>
      </c>
      <c r="AM237">
        <v>30</v>
      </c>
      <c r="AN237">
        <f>IF(ISNUMBER(AJ237),IF(AJ237&gt;=0.05,1,0),"")</f>
        <v>1</v>
      </c>
      <c r="AO237">
        <f>IF(ISNUMBER(AJ237),IF(AJ237&lt;0.005,1,0),"")</f>
        <v>0</v>
      </c>
      <c r="AQ237" s="34"/>
      <c r="AR237" s="35"/>
      <c r="AS237" s="36"/>
    </row>
    <row r="238" spans="1:45" ht="42.75" x14ac:dyDescent="0.45">
      <c r="A238" s="1" t="s">
        <v>71</v>
      </c>
      <c r="B238" s="1" t="s">
        <v>65</v>
      </c>
      <c r="C238" s="1">
        <v>106</v>
      </c>
      <c r="D238" s="1">
        <v>250.28</v>
      </c>
      <c r="E238" s="1">
        <v>-0.1</v>
      </c>
      <c r="F238" s="1">
        <v>1.57</v>
      </c>
      <c r="G238" s="1">
        <v>1.93</v>
      </c>
      <c r="H238" s="1">
        <v>0.87</v>
      </c>
      <c r="I238" s="1">
        <v>0.86</v>
      </c>
      <c r="J238" s="1">
        <v>1.49</v>
      </c>
      <c r="K238" s="1" t="s">
        <v>67</v>
      </c>
      <c r="M238" s="1">
        <v>0.42</v>
      </c>
      <c r="N238" s="1">
        <v>1.1499999999999999</v>
      </c>
      <c r="P238" s="1">
        <v>7.2</v>
      </c>
      <c r="Q238" s="1">
        <v>35.5</v>
      </c>
      <c r="R238" s="1" t="s">
        <v>72</v>
      </c>
      <c r="S238" s="1">
        <v>307.27999999999997</v>
      </c>
      <c r="T238" s="1">
        <v>377</v>
      </c>
      <c r="U238" s="1">
        <v>1.82</v>
      </c>
      <c r="V238" s="1">
        <v>9.4</v>
      </c>
      <c r="W238" s="1">
        <v>0.08</v>
      </c>
      <c r="X238" s="1">
        <f t="shared" si="34"/>
        <v>80</v>
      </c>
      <c r="Y238" s="1">
        <v>3.3000000000000002E-2</v>
      </c>
      <c r="Z238" s="1">
        <v>8.0000000000000002E-3</v>
      </c>
      <c r="AA238" s="1">
        <v>24.0446633928571</v>
      </c>
      <c r="AB238" s="1">
        <v>6.8</v>
      </c>
      <c r="AC238" s="1">
        <v>25</v>
      </c>
      <c r="AD238" s="1" t="s">
        <v>66</v>
      </c>
      <c r="AE238" s="1">
        <v>10</v>
      </c>
      <c r="AH238" s="1">
        <v>0.95939757608695475</v>
      </c>
      <c r="AJ238" s="1">
        <f t="shared" si="39"/>
        <v>4.0602423913045249E-2</v>
      </c>
      <c r="AK238" s="1">
        <f t="shared" si="38"/>
        <v>-3.2039275118648063</v>
      </c>
      <c r="AM238">
        <v>30</v>
      </c>
      <c r="AN238">
        <f>IF(ISNUMBER(AJ238),IF(AJ238&gt;=0.05,1,0),"")</f>
        <v>0</v>
      </c>
      <c r="AO238">
        <f>IF(ISNUMBER(AJ238),IF(AJ238&lt;0.005,1,0),"")</f>
        <v>0</v>
      </c>
      <c r="AQ238" s="34"/>
      <c r="AR238" s="35"/>
      <c r="AS238" s="36"/>
    </row>
    <row r="239" spans="1:45" ht="42.75" x14ac:dyDescent="0.45">
      <c r="A239" s="1" t="s">
        <v>71</v>
      </c>
      <c r="B239" s="1" t="s">
        <v>65</v>
      </c>
      <c r="C239" s="1">
        <v>106</v>
      </c>
      <c r="D239" s="1">
        <v>250.28</v>
      </c>
      <c r="E239" s="1">
        <v>-0.1</v>
      </c>
      <c r="F239" s="1">
        <v>1.57</v>
      </c>
      <c r="G239" s="1">
        <v>1.93</v>
      </c>
      <c r="H239" s="1">
        <v>0.87</v>
      </c>
      <c r="I239" s="1">
        <v>0.86</v>
      </c>
      <c r="J239" s="1">
        <v>1.49</v>
      </c>
      <c r="K239" s="1" t="s">
        <v>67</v>
      </c>
      <c r="M239" s="1">
        <v>0.42</v>
      </c>
      <c r="N239" s="1">
        <v>1.1499999999999999</v>
      </c>
      <c r="P239" s="1">
        <v>7.2</v>
      </c>
      <c r="Q239" s="1">
        <v>35.5</v>
      </c>
      <c r="R239" s="1" t="s">
        <v>72</v>
      </c>
      <c r="S239" s="1">
        <v>307.27999999999997</v>
      </c>
      <c r="T239" s="1">
        <v>377</v>
      </c>
      <c r="U239" s="1">
        <v>1.82</v>
      </c>
      <c r="V239" s="1">
        <v>9.4</v>
      </c>
      <c r="W239" s="1">
        <v>0.1</v>
      </c>
      <c r="X239" s="1">
        <f t="shared" si="34"/>
        <v>100</v>
      </c>
      <c r="Y239" s="1">
        <v>3.3000000000000002E-2</v>
      </c>
      <c r="Z239" s="1">
        <v>8.0000000000000002E-3</v>
      </c>
      <c r="AA239" s="1">
        <v>0</v>
      </c>
      <c r="AB239" s="1">
        <v>6.8</v>
      </c>
      <c r="AC239" s="1">
        <v>25</v>
      </c>
      <c r="AD239" s="1" t="s">
        <v>66</v>
      </c>
      <c r="AE239" s="1">
        <v>10</v>
      </c>
      <c r="AH239" s="1">
        <v>0</v>
      </c>
      <c r="AI239" s="1">
        <f>-AK246/AA246</f>
        <v>0.17218122779360495</v>
      </c>
      <c r="AJ239" s="1">
        <f t="shared" ref="AJ239" si="41">1-AH239</f>
        <v>1</v>
      </c>
      <c r="AK239" s="1">
        <f t="shared" si="38"/>
        <v>0</v>
      </c>
      <c r="AL239" s="1">
        <v>0.16981328040117299</v>
      </c>
      <c r="AM239">
        <v>31</v>
      </c>
      <c r="AN239">
        <f>IF(ISNUMBER(AJ239),IF(AJ239&gt;=0.05,1,0),"")</f>
        <v>1</v>
      </c>
      <c r="AO239">
        <f>IF(ISNUMBER(AJ239),IF(AJ239&lt;0.005,1,0),"")</f>
        <v>0</v>
      </c>
      <c r="AP239">
        <f>IFERROR(MATCH(0,AN239:AN246,0)-1,8)</f>
        <v>7</v>
      </c>
      <c r="AQ239" s="34">
        <f>IF(AP239&lt;3,"n&lt;3",IFERROR(-SLOPE(AK239:INDEX(AK239:AK246,AP239),AA239:INDEX(AA239:AA246,AP239)),"no fit"))</f>
        <v>0.13581639875298374</v>
      </c>
      <c r="AR239" s="35">
        <f>IF(AP239&lt;3,"",IFERROR(RSQ(AK239:INDEX(AK239:AK246,AP239),AA239:INDEX(AA239:AA246,AP239)),"flat"))</f>
        <v>0.88305831296414683</v>
      </c>
      <c r="AS239" s="36">
        <f>IFERROR(AQ239/AI239,"")</f>
        <v>0.78879910715811574</v>
      </c>
    </row>
    <row r="240" spans="1:45" ht="42.75" x14ac:dyDescent="0.45">
      <c r="A240" s="1" t="s">
        <v>71</v>
      </c>
      <c r="B240" s="1" t="s">
        <v>65</v>
      </c>
      <c r="C240" s="1">
        <v>106</v>
      </c>
      <c r="D240" s="1">
        <v>250.28</v>
      </c>
      <c r="E240" s="1">
        <v>-0.1</v>
      </c>
      <c r="F240" s="1">
        <v>1.57</v>
      </c>
      <c r="G240" s="1">
        <v>1.93</v>
      </c>
      <c r="H240" s="1">
        <v>0.87</v>
      </c>
      <c r="I240" s="1">
        <v>0.86</v>
      </c>
      <c r="J240" s="1">
        <v>1.49</v>
      </c>
      <c r="K240" s="1" t="s">
        <v>67</v>
      </c>
      <c r="M240" s="1">
        <v>0.42</v>
      </c>
      <c r="N240" s="1">
        <v>1.1499999999999999</v>
      </c>
      <c r="P240" s="1">
        <v>7.2</v>
      </c>
      <c r="Q240" s="1">
        <v>35.5</v>
      </c>
      <c r="R240" s="1" t="s">
        <v>72</v>
      </c>
      <c r="S240" s="1">
        <v>307.27999999999997</v>
      </c>
      <c r="T240" s="1">
        <v>377</v>
      </c>
      <c r="U240" s="1">
        <v>1.82</v>
      </c>
      <c r="V240" s="1">
        <v>9.4</v>
      </c>
      <c r="W240" s="1">
        <v>0.1</v>
      </c>
      <c r="X240" s="1">
        <f t="shared" si="34"/>
        <v>100</v>
      </c>
      <c r="Y240" s="1">
        <v>3.3000000000000002E-2</v>
      </c>
      <c r="Z240" s="1">
        <v>8.0000000000000002E-3</v>
      </c>
      <c r="AA240" s="1">
        <v>0.99525959821429</v>
      </c>
      <c r="AB240" s="1">
        <v>6.8</v>
      </c>
      <c r="AC240" s="1">
        <v>25</v>
      </c>
      <c r="AD240" s="1" t="s">
        <v>66</v>
      </c>
      <c r="AE240" s="1">
        <v>10</v>
      </c>
      <c r="AH240" s="1">
        <v>0.20200182608695805</v>
      </c>
      <c r="AJ240" s="1">
        <f t="shared" si="39"/>
        <v>0.79799817391304195</v>
      </c>
      <c r="AK240" s="1">
        <f t="shared" si="38"/>
        <v>-0.22564896986446789</v>
      </c>
      <c r="AM240">
        <v>31</v>
      </c>
      <c r="AN240">
        <f>IF(ISNUMBER(AJ240),IF(AJ240&gt;=0.05,1,0),"")</f>
        <v>1</v>
      </c>
      <c r="AO240">
        <f>IF(ISNUMBER(AJ240),IF(AJ240&lt;0.005,1,0),"")</f>
        <v>0</v>
      </c>
      <c r="AQ240" s="34"/>
      <c r="AR240" s="35"/>
      <c r="AS240" s="36"/>
    </row>
    <row r="241" spans="1:45" ht="42.75" x14ac:dyDescent="0.45">
      <c r="A241" s="1" t="s">
        <v>71</v>
      </c>
      <c r="B241" s="1" t="s">
        <v>65</v>
      </c>
      <c r="C241" s="1">
        <v>106</v>
      </c>
      <c r="D241" s="1">
        <v>250.28</v>
      </c>
      <c r="E241" s="1">
        <v>-0.1</v>
      </c>
      <c r="F241" s="1">
        <v>1.57</v>
      </c>
      <c r="G241" s="1">
        <v>1.93</v>
      </c>
      <c r="H241" s="1">
        <v>0.87</v>
      </c>
      <c r="I241" s="1">
        <v>0.86</v>
      </c>
      <c r="J241" s="1">
        <v>1.49</v>
      </c>
      <c r="K241" s="1" t="s">
        <v>67</v>
      </c>
      <c r="M241" s="1">
        <v>0.42</v>
      </c>
      <c r="N241" s="1">
        <v>1.1499999999999999</v>
      </c>
      <c r="P241" s="1">
        <v>7.2</v>
      </c>
      <c r="Q241" s="1">
        <v>35.5</v>
      </c>
      <c r="R241" s="1" t="s">
        <v>72</v>
      </c>
      <c r="S241" s="1">
        <v>307.27999999999997</v>
      </c>
      <c r="T241" s="1">
        <v>377</v>
      </c>
      <c r="U241" s="1">
        <v>1.82</v>
      </c>
      <c r="V241" s="1">
        <v>9.4</v>
      </c>
      <c r="W241" s="1">
        <v>0.1</v>
      </c>
      <c r="X241" s="1">
        <f t="shared" si="34"/>
        <v>100</v>
      </c>
      <c r="Y241" s="1">
        <v>3.3000000000000002E-2</v>
      </c>
      <c r="Z241" s="1">
        <v>8.0000000000000002E-3</v>
      </c>
      <c r="AA241" s="1">
        <v>3.1190529017857198</v>
      </c>
      <c r="AB241" s="1">
        <v>6.8</v>
      </c>
      <c r="AC241" s="1">
        <v>25</v>
      </c>
      <c r="AD241" s="1" t="s">
        <v>66</v>
      </c>
      <c r="AE241" s="1">
        <v>10</v>
      </c>
      <c r="AH241" s="1">
        <v>0.62480507608695601</v>
      </c>
      <c r="AJ241" s="1">
        <f t="shared" si="39"/>
        <v>0.37519492391304399</v>
      </c>
      <c r="AK241" s="1">
        <f t="shared" si="38"/>
        <v>-0.98030959095799275</v>
      </c>
      <c r="AM241">
        <v>31</v>
      </c>
      <c r="AN241">
        <f>IF(ISNUMBER(AJ241),IF(AJ241&gt;=0.05,1,0),"")</f>
        <v>1</v>
      </c>
      <c r="AO241">
        <f>IF(ISNUMBER(AJ241),IF(AJ241&lt;0.005,1,0),"")</f>
        <v>0</v>
      </c>
      <c r="AQ241" s="34"/>
      <c r="AR241" s="35"/>
      <c r="AS241" s="36"/>
    </row>
    <row r="242" spans="1:45" ht="42.75" x14ac:dyDescent="0.45">
      <c r="A242" s="1" t="s">
        <v>71</v>
      </c>
      <c r="B242" s="1" t="s">
        <v>65</v>
      </c>
      <c r="C242" s="1">
        <v>106</v>
      </c>
      <c r="D242" s="1">
        <v>250.28</v>
      </c>
      <c r="E242" s="1">
        <v>-0.1</v>
      </c>
      <c r="F242" s="1">
        <v>1.57</v>
      </c>
      <c r="G242" s="1">
        <v>1.93</v>
      </c>
      <c r="H242" s="1">
        <v>0.87</v>
      </c>
      <c r="I242" s="1">
        <v>0.86</v>
      </c>
      <c r="J242" s="1">
        <v>1.49</v>
      </c>
      <c r="K242" s="1" t="s">
        <v>67</v>
      </c>
      <c r="M242" s="1">
        <v>0.42</v>
      </c>
      <c r="N242" s="1">
        <v>1.1499999999999999</v>
      </c>
      <c r="P242" s="1">
        <v>7.2</v>
      </c>
      <c r="Q242" s="1">
        <v>35.5</v>
      </c>
      <c r="R242" s="1" t="s">
        <v>72</v>
      </c>
      <c r="S242" s="1">
        <v>307.27999999999997</v>
      </c>
      <c r="T242" s="1">
        <v>377</v>
      </c>
      <c r="U242" s="1">
        <v>1.82</v>
      </c>
      <c r="V242" s="1">
        <v>9.4</v>
      </c>
      <c r="W242" s="1">
        <v>0.1</v>
      </c>
      <c r="X242" s="1">
        <f t="shared" si="34"/>
        <v>100</v>
      </c>
      <c r="Y242" s="1">
        <v>3.3000000000000002E-2</v>
      </c>
      <c r="Z242" s="1">
        <v>8.0000000000000002E-3</v>
      </c>
      <c r="AA242" s="1">
        <v>4.8680591517857099</v>
      </c>
      <c r="AB242" s="1">
        <v>6.8</v>
      </c>
      <c r="AC242" s="1">
        <v>25</v>
      </c>
      <c r="AD242" s="1" t="s">
        <v>66</v>
      </c>
      <c r="AE242" s="1">
        <v>10</v>
      </c>
      <c r="AH242" s="1">
        <v>0.75255857608695598</v>
      </c>
      <c r="AJ242" s="1">
        <f t="shared" si="39"/>
        <v>0.24744142391304402</v>
      </c>
      <c r="AK242" s="1">
        <f t="shared" si="38"/>
        <v>-1.3965813960428146</v>
      </c>
      <c r="AM242">
        <v>31</v>
      </c>
      <c r="AN242">
        <f>IF(ISNUMBER(AJ242),IF(AJ242&gt;=0.05,1,0),"")</f>
        <v>1</v>
      </c>
      <c r="AO242">
        <f>IF(ISNUMBER(AJ242),IF(AJ242&lt;0.005,1,0),"")</f>
        <v>0</v>
      </c>
      <c r="AQ242" s="34"/>
      <c r="AR242" s="35"/>
      <c r="AS242" s="36"/>
    </row>
    <row r="243" spans="1:45" ht="42.75" x14ac:dyDescent="0.45">
      <c r="A243" s="1" t="s">
        <v>71</v>
      </c>
      <c r="B243" s="1" t="s">
        <v>65</v>
      </c>
      <c r="C243" s="1">
        <v>106</v>
      </c>
      <c r="D243" s="1">
        <v>250.28</v>
      </c>
      <c r="E243" s="1">
        <v>-0.1</v>
      </c>
      <c r="F243" s="1">
        <v>1.57</v>
      </c>
      <c r="G243" s="1">
        <v>1.93</v>
      </c>
      <c r="H243" s="1">
        <v>0.87</v>
      </c>
      <c r="I243" s="1">
        <v>0.86</v>
      </c>
      <c r="J243" s="1">
        <v>1.49</v>
      </c>
      <c r="K243" s="1" t="s">
        <v>67</v>
      </c>
      <c r="M243" s="1">
        <v>0.42</v>
      </c>
      <c r="N243" s="1">
        <v>1.1499999999999999</v>
      </c>
      <c r="P243" s="1">
        <v>7.2</v>
      </c>
      <c r="Q243" s="1">
        <v>35.5</v>
      </c>
      <c r="R243" s="1" t="s">
        <v>72</v>
      </c>
      <c r="S243" s="1">
        <v>307.27999999999997</v>
      </c>
      <c r="T243" s="1">
        <v>377</v>
      </c>
      <c r="U243" s="1">
        <v>1.82</v>
      </c>
      <c r="V243" s="1">
        <v>9.4</v>
      </c>
      <c r="W243" s="1">
        <v>0.1</v>
      </c>
      <c r="X243" s="1">
        <f t="shared" si="34"/>
        <v>100</v>
      </c>
      <c r="Y243" s="1">
        <v>3.3000000000000002E-2</v>
      </c>
      <c r="Z243" s="1">
        <v>8.0000000000000002E-3</v>
      </c>
      <c r="AA243" s="1">
        <v>7.9912845982142802</v>
      </c>
      <c r="AB243" s="1">
        <v>6.8</v>
      </c>
      <c r="AC243" s="1">
        <v>25</v>
      </c>
      <c r="AD243" s="1" t="s">
        <v>66</v>
      </c>
      <c r="AE243" s="1">
        <v>10</v>
      </c>
      <c r="AH243" s="1">
        <v>0.81339357608695595</v>
      </c>
      <c r="AJ243" s="1">
        <f t="shared" si="39"/>
        <v>0.18660642391304405</v>
      </c>
      <c r="AK243" s="1">
        <f t="shared" si="38"/>
        <v>-1.6787535650465388</v>
      </c>
      <c r="AM243">
        <v>31</v>
      </c>
      <c r="AN243">
        <f>IF(ISNUMBER(AJ243),IF(AJ243&gt;=0.05,1,0),"")</f>
        <v>1</v>
      </c>
      <c r="AO243">
        <f>IF(ISNUMBER(AJ243),IF(AJ243&lt;0.005,1,0),"")</f>
        <v>0</v>
      </c>
      <c r="AQ243" s="34"/>
      <c r="AR243" s="35"/>
      <c r="AS243" s="36"/>
    </row>
    <row r="244" spans="1:45" ht="42.75" x14ac:dyDescent="0.45">
      <c r="A244" s="1" t="s">
        <v>71</v>
      </c>
      <c r="B244" s="1" t="s">
        <v>65</v>
      </c>
      <c r="C244" s="1">
        <v>106</v>
      </c>
      <c r="D244" s="1">
        <v>250.28</v>
      </c>
      <c r="E244" s="1">
        <v>-0.1</v>
      </c>
      <c r="F244" s="1">
        <v>1.57</v>
      </c>
      <c r="G244" s="1">
        <v>1.93</v>
      </c>
      <c r="H244" s="1">
        <v>0.87</v>
      </c>
      <c r="I244" s="1">
        <v>0.86</v>
      </c>
      <c r="J244" s="1">
        <v>1.49</v>
      </c>
      <c r="K244" s="1" t="s">
        <v>67</v>
      </c>
      <c r="M244" s="1">
        <v>0.42</v>
      </c>
      <c r="N244" s="1">
        <v>1.1499999999999999</v>
      </c>
      <c r="P244" s="1">
        <v>7.2</v>
      </c>
      <c r="Q244" s="1">
        <v>35.5</v>
      </c>
      <c r="R244" s="1" t="s">
        <v>72</v>
      </c>
      <c r="S244" s="1">
        <v>307.27999999999997</v>
      </c>
      <c r="T244" s="1">
        <v>377</v>
      </c>
      <c r="U244" s="1">
        <v>1.82</v>
      </c>
      <c r="V244" s="1">
        <v>9.4</v>
      </c>
      <c r="W244" s="1">
        <v>0.1</v>
      </c>
      <c r="X244" s="1">
        <f t="shared" si="34"/>
        <v>100</v>
      </c>
      <c r="Y244" s="1">
        <v>3.3000000000000002E-2</v>
      </c>
      <c r="Z244" s="1">
        <v>8.0000000000000002E-3</v>
      </c>
      <c r="AA244" s="1">
        <v>11.989013169642799</v>
      </c>
      <c r="AB244" s="1">
        <v>6.8</v>
      </c>
      <c r="AC244" s="1">
        <v>25</v>
      </c>
      <c r="AD244" s="1" t="s">
        <v>66</v>
      </c>
      <c r="AE244" s="1">
        <v>10</v>
      </c>
      <c r="AH244" s="1">
        <v>0.85293632608695502</v>
      </c>
      <c r="AJ244" s="1">
        <f t="shared" si="39"/>
        <v>0.14706367391304498</v>
      </c>
      <c r="AK244" s="1">
        <f t="shared" si="38"/>
        <v>-1.9168896301172695</v>
      </c>
      <c r="AM244">
        <v>31</v>
      </c>
      <c r="AN244">
        <f>IF(ISNUMBER(AJ244),IF(AJ244&gt;=0.05,1,0),"")</f>
        <v>1</v>
      </c>
      <c r="AO244">
        <f>IF(ISNUMBER(AJ244),IF(AJ244&lt;0.005,1,0),"")</f>
        <v>0</v>
      </c>
      <c r="AQ244" s="34"/>
      <c r="AR244" s="35"/>
      <c r="AS244" s="36"/>
    </row>
    <row r="245" spans="1:45" ht="42.75" x14ac:dyDescent="0.45">
      <c r="A245" s="1" t="s">
        <v>71</v>
      </c>
      <c r="B245" s="1" t="s">
        <v>65</v>
      </c>
      <c r="C245" s="1">
        <v>106</v>
      </c>
      <c r="D245" s="1">
        <v>250.28</v>
      </c>
      <c r="E245" s="1">
        <v>-0.1</v>
      </c>
      <c r="F245" s="1">
        <v>1.57</v>
      </c>
      <c r="G245" s="1">
        <v>1.93</v>
      </c>
      <c r="H245" s="1">
        <v>0.87</v>
      </c>
      <c r="I245" s="1">
        <v>0.86</v>
      </c>
      <c r="J245" s="1">
        <v>1.49</v>
      </c>
      <c r="K245" s="1" t="s">
        <v>67</v>
      </c>
      <c r="M245" s="1">
        <v>0.42</v>
      </c>
      <c r="N245" s="1">
        <v>1.1499999999999999</v>
      </c>
      <c r="P245" s="1">
        <v>7.2</v>
      </c>
      <c r="Q245" s="1">
        <v>35.5</v>
      </c>
      <c r="R245" s="1" t="s">
        <v>72</v>
      </c>
      <c r="S245" s="1">
        <v>307.27999999999997</v>
      </c>
      <c r="T245" s="1">
        <v>377</v>
      </c>
      <c r="U245" s="1">
        <v>1.82</v>
      </c>
      <c r="V245" s="1">
        <v>9.4</v>
      </c>
      <c r="W245" s="1">
        <v>0.1</v>
      </c>
      <c r="X245" s="1">
        <f t="shared" si="34"/>
        <v>100</v>
      </c>
      <c r="Y245" s="1">
        <v>3.3000000000000002E-2</v>
      </c>
      <c r="Z245" s="1">
        <v>8.0000000000000002E-3</v>
      </c>
      <c r="AA245" s="1">
        <v>15.924277232142799</v>
      </c>
      <c r="AB245" s="1">
        <v>6.8</v>
      </c>
      <c r="AC245" s="1">
        <v>25</v>
      </c>
      <c r="AD245" s="1" t="s">
        <v>66</v>
      </c>
      <c r="AE245" s="1">
        <v>10</v>
      </c>
      <c r="AH245" s="1">
        <v>0.89552082608695605</v>
      </c>
      <c r="AJ245" s="1">
        <f t="shared" si="39"/>
        <v>0.10447917391304395</v>
      </c>
      <c r="AK245" s="1">
        <f t="shared" si="38"/>
        <v>-2.258767520136844</v>
      </c>
      <c r="AM245">
        <v>31</v>
      </c>
      <c r="AN245">
        <f>IF(ISNUMBER(AJ245),IF(AJ245&gt;=0.05,1,0),"")</f>
        <v>1</v>
      </c>
      <c r="AO245">
        <f>IF(ISNUMBER(AJ245),IF(AJ245&lt;0.005,1,0),"")</f>
        <v>0</v>
      </c>
      <c r="AQ245" s="34"/>
      <c r="AR245" s="35"/>
      <c r="AS245" s="36"/>
    </row>
    <row r="246" spans="1:45" ht="42.75" x14ac:dyDescent="0.45">
      <c r="A246" s="1" t="s">
        <v>71</v>
      </c>
      <c r="B246" s="1" t="s">
        <v>65</v>
      </c>
      <c r="C246" s="1">
        <v>106</v>
      </c>
      <c r="D246" s="1">
        <v>250.28</v>
      </c>
      <c r="E246" s="1">
        <v>-0.1</v>
      </c>
      <c r="F246" s="1">
        <v>1.57</v>
      </c>
      <c r="G246" s="1">
        <v>1.93</v>
      </c>
      <c r="H246" s="1">
        <v>0.87</v>
      </c>
      <c r="I246" s="1">
        <v>0.86</v>
      </c>
      <c r="J246" s="1">
        <v>1.49</v>
      </c>
      <c r="K246" s="1" t="s">
        <v>67</v>
      </c>
      <c r="M246" s="1">
        <v>0.42</v>
      </c>
      <c r="N246" s="1">
        <v>1.1499999999999999</v>
      </c>
      <c r="P246" s="1">
        <v>7.2</v>
      </c>
      <c r="Q246" s="1">
        <v>35.5</v>
      </c>
      <c r="R246" s="1" t="s">
        <v>72</v>
      </c>
      <c r="S246" s="1">
        <v>307.27999999999997</v>
      </c>
      <c r="T246" s="1">
        <v>377</v>
      </c>
      <c r="U246" s="1">
        <v>1.82</v>
      </c>
      <c r="V246" s="1">
        <v>9.4</v>
      </c>
      <c r="W246" s="1">
        <v>0.1</v>
      </c>
      <c r="X246" s="1">
        <f t="shared" si="34"/>
        <v>100</v>
      </c>
      <c r="Y246" s="1">
        <v>3.3000000000000002E-2</v>
      </c>
      <c r="Z246" s="1">
        <v>8.0000000000000002E-3</v>
      </c>
      <c r="AA246" s="1">
        <v>23.919734374999901</v>
      </c>
      <c r="AB246" s="1">
        <v>6.8</v>
      </c>
      <c r="AC246" s="1">
        <v>25</v>
      </c>
      <c r="AD246" s="1" t="s">
        <v>66</v>
      </c>
      <c r="AE246" s="1">
        <v>10</v>
      </c>
      <c r="AH246" s="1">
        <v>0.98373157608695472</v>
      </c>
      <c r="AJ246" s="1">
        <f t="shared" si="39"/>
        <v>1.6268423913045282E-2</v>
      </c>
      <c r="AK246" s="1">
        <f t="shared" si="38"/>
        <v>-4.1185292331843808</v>
      </c>
      <c r="AM246">
        <v>31</v>
      </c>
      <c r="AN246">
        <f>IF(ISNUMBER(AJ246),IF(AJ246&gt;=0.05,1,0),"")</f>
        <v>0</v>
      </c>
      <c r="AO246">
        <f>IF(ISNUMBER(AJ246),IF(AJ246&lt;0.005,1,0),"")</f>
        <v>0</v>
      </c>
      <c r="AQ246" s="34"/>
      <c r="AR246" s="35"/>
      <c r="AS246" s="36"/>
    </row>
    <row r="247" spans="1:45" ht="42.75" x14ac:dyDescent="0.45">
      <c r="A247" s="1" t="s">
        <v>71</v>
      </c>
      <c r="B247" s="1" t="s">
        <v>65</v>
      </c>
      <c r="C247" s="1">
        <v>106</v>
      </c>
      <c r="D247" s="1">
        <v>250.28</v>
      </c>
      <c r="E247" s="1">
        <v>-0.1</v>
      </c>
      <c r="F247" s="1">
        <v>1.57</v>
      </c>
      <c r="G247" s="1">
        <v>1.93</v>
      </c>
      <c r="H247" s="1">
        <v>0.87</v>
      </c>
      <c r="I247" s="1">
        <v>0.86</v>
      </c>
      <c r="J247" s="1">
        <v>1.49</v>
      </c>
      <c r="K247" s="1" t="s">
        <v>67</v>
      </c>
      <c r="M247" s="1">
        <v>0.42</v>
      </c>
      <c r="N247" s="1">
        <v>1.1499999999999999</v>
      </c>
      <c r="P247" s="1">
        <v>7.2</v>
      </c>
      <c r="Q247" s="1">
        <v>35.5</v>
      </c>
      <c r="R247" s="1" t="s">
        <v>72</v>
      </c>
      <c r="S247" s="1">
        <v>307.27999999999997</v>
      </c>
      <c r="T247" s="1">
        <v>377</v>
      </c>
      <c r="U247" s="1">
        <v>1.82</v>
      </c>
      <c r="V247" s="1">
        <v>9.4</v>
      </c>
      <c r="W247" s="1">
        <v>0.2</v>
      </c>
      <c r="X247" s="1">
        <f t="shared" si="34"/>
        <v>200</v>
      </c>
      <c r="Y247" s="1">
        <v>3.3000000000000002E-2</v>
      </c>
      <c r="Z247" s="1">
        <v>8.0000000000000002E-3</v>
      </c>
      <c r="AA247" s="1">
        <v>0</v>
      </c>
      <c r="AB247" s="1">
        <v>6.8</v>
      </c>
      <c r="AC247" s="1">
        <v>25</v>
      </c>
      <c r="AD247" s="1" t="s">
        <v>66</v>
      </c>
      <c r="AE247" s="1">
        <v>10</v>
      </c>
      <c r="AH247" s="1">
        <v>0</v>
      </c>
      <c r="AI247" s="1">
        <f>-AK254/AA254</f>
        <v>0.20551745703515728</v>
      </c>
      <c r="AJ247" s="1">
        <f t="shared" ref="AJ247" si="42">1-AH247</f>
        <v>1</v>
      </c>
      <c r="AK247" s="1">
        <f t="shared" si="38"/>
        <v>0</v>
      </c>
      <c r="AL247" s="1">
        <v>0.196303343831434</v>
      </c>
      <c r="AM247">
        <v>32</v>
      </c>
      <c r="AN247">
        <f>IF(ISNUMBER(AJ247),IF(AJ247&gt;=0.05,1,0),"")</f>
        <v>1</v>
      </c>
      <c r="AO247">
        <f>IF(ISNUMBER(AJ247),IF(AJ247&lt;0.005,1,0),"")</f>
        <v>0</v>
      </c>
      <c r="AP247">
        <f>IFERROR(MATCH(0,AN247:AN254,0)-1,8)</f>
        <v>6</v>
      </c>
      <c r="AQ247" s="34">
        <f>IF(AP247&lt;3,"n&lt;3",IFERROR(-SLOPE(AK247:INDEX(AK247:AK254,AP247),AA247:INDEX(AA247:AA254,AP247)),"no fit"))</f>
        <v>0.24075027372300095</v>
      </c>
      <c r="AR247" s="35">
        <f>IF(AP247&lt;3,"",IFERROR(RSQ(AK247:INDEX(AK247:AK254,AP247),AA247:INDEX(AA247:AA254,AP247)),"flat"))</f>
        <v>0.89993440542674297</v>
      </c>
      <c r="AS247" s="36">
        <f>IFERROR(AQ247/AI247,"")</f>
        <v>1.1714346664080049</v>
      </c>
    </row>
    <row r="248" spans="1:45" ht="42.75" x14ac:dyDescent="0.45">
      <c r="A248" s="1" t="s">
        <v>71</v>
      </c>
      <c r="B248" s="1" t="s">
        <v>65</v>
      </c>
      <c r="C248" s="1">
        <v>106</v>
      </c>
      <c r="D248" s="1">
        <v>250.28</v>
      </c>
      <c r="E248" s="1">
        <v>-0.1</v>
      </c>
      <c r="F248" s="1">
        <v>1.57</v>
      </c>
      <c r="G248" s="1">
        <v>1.93</v>
      </c>
      <c r="H248" s="1">
        <v>0.87</v>
      </c>
      <c r="I248" s="1">
        <v>0.86</v>
      </c>
      <c r="J248" s="1">
        <v>1.49</v>
      </c>
      <c r="K248" s="1" t="s">
        <v>67</v>
      </c>
      <c r="M248" s="1">
        <v>0.42</v>
      </c>
      <c r="N248" s="1">
        <v>1.1499999999999999</v>
      </c>
      <c r="P248" s="1">
        <v>7.2</v>
      </c>
      <c r="Q248" s="1">
        <v>35.5</v>
      </c>
      <c r="R248" s="1" t="s">
        <v>72</v>
      </c>
      <c r="S248" s="1">
        <v>307.27999999999997</v>
      </c>
      <c r="T248" s="1">
        <v>377</v>
      </c>
      <c r="U248" s="1">
        <v>1.82</v>
      </c>
      <c r="V248" s="1">
        <v>9.4</v>
      </c>
      <c r="W248" s="1">
        <v>0.2</v>
      </c>
      <c r="X248" s="1">
        <f t="shared" si="34"/>
        <v>200</v>
      </c>
      <c r="Y248" s="1">
        <v>3.3000000000000002E-2</v>
      </c>
      <c r="Z248" s="1">
        <v>8.0000000000000002E-3</v>
      </c>
      <c r="AA248" s="1">
        <v>0.93279508928572097</v>
      </c>
      <c r="AB248" s="1">
        <v>6.8</v>
      </c>
      <c r="AC248" s="1">
        <v>25</v>
      </c>
      <c r="AD248" s="1" t="s">
        <v>66</v>
      </c>
      <c r="AE248" s="1">
        <v>10</v>
      </c>
      <c r="AH248" s="1">
        <v>0.33279707608695697</v>
      </c>
      <c r="AJ248" s="1">
        <f t="shared" si="39"/>
        <v>0.66720292391304303</v>
      </c>
      <c r="AK248" s="1">
        <f t="shared" si="38"/>
        <v>-0.40466104558352894</v>
      </c>
      <c r="AM248">
        <v>32</v>
      </c>
      <c r="AN248">
        <f>IF(ISNUMBER(AJ248),IF(AJ248&gt;=0.05,1,0),"")</f>
        <v>1</v>
      </c>
      <c r="AO248">
        <f>IF(ISNUMBER(AJ248),IF(AJ248&lt;0.005,1,0),"")</f>
        <v>0</v>
      </c>
      <c r="AQ248" s="34"/>
      <c r="AR248" s="35"/>
      <c r="AS248" s="36"/>
    </row>
    <row r="249" spans="1:45" ht="42.75" x14ac:dyDescent="0.45">
      <c r="A249" s="1" t="s">
        <v>71</v>
      </c>
      <c r="B249" s="1" t="s">
        <v>65</v>
      </c>
      <c r="C249" s="1">
        <v>106</v>
      </c>
      <c r="D249" s="1">
        <v>250.28</v>
      </c>
      <c r="E249" s="1">
        <v>-0.1</v>
      </c>
      <c r="F249" s="1">
        <v>1.57</v>
      </c>
      <c r="G249" s="1">
        <v>1.93</v>
      </c>
      <c r="H249" s="1">
        <v>0.87</v>
      </c>
      <c r="I249" s="1">
        <v>0.86</v>
      </c>
      <c r="J249" s="1">
        <v>1.49</v>
      </c>
      <c r="K249" s="1" t="s">
        <v>67</v>
      </c>
      <c r="M249" s="1">
        <v>0.42</v>
      </c>
      <c r="N249" s="1">
        <v>1.1499999999999999</v>
      </c>
      <c r="P249" s="1">
        <v>7.2</v>
      </c>
      <c r="Q249" s="1">
        <v>35.5</v>
      </c>
      <c r="R249" s="1" t="s">
        <v>72</v>
      </c>
      <c r="S249" s="1">
        <v>307.27999999999997</v>
      </c>
      <c r="T249" s="1">
        <v>377</v>
      </c>
      <c r="U249" s="1">
        <v>1.82</v>
      </c>
      <c r="V249" s="1">
        <v>9.4</v>
      </c>
      <c r="W249" s="1">
        <v>0.2</v>
      </c>
      <c r="X249" s="1">
        <f t="shared" si="34"/>
        <v>200</v>
      </c>
      <c r="Y249" s="1">
        <v>3.3000000000000002E-2</v>
      </c>
      <c r="Z249" s="1">
        <v>8.0000000000000002E-3</v>
      </c>
      <c r="AA249" s="1">
        <v>2.99412388392857</v>
      </c>
      <c r="AB249" s="1">
        <v>6.8</v>
      </c>
      <c r="AC249" s="1">
        <v>25</v>
      </c>
      <c r="AD249" s="1" t="s">
        <v>66</v>
      </c>
      <c r="AE249" s="1">
        <v>10</v>
      </c>
      <c r="AH249" s="1">
        <v>0.61567982608695693</v>
      </c>
      <c r="AJ249" s="1">
        <f t="shared" si="39"/>
        <v>0.38432017391304307</v>
      </c>
      <c r="AK249" s="1">
        <f t="shared" si="38"/>
        <v>-0.95627928756917224</v>
      </c>
      <c r="AM249">
        <v>32</v>
      </c>
      <c r="AN249">
        <f>IF(ISNUMBER(AJ249),IF(AJ249&gt;=0.05,1,0),"")</f>
        <v>1</v>
      </c>
      <c r="AO249">
        <f>IF(ISNUMBER(AJ249),IF(AJ249&lt;0.005,1,0),"")</f>
        <v>0</v>
      </c>
      <c r="AQ249" s="34"/>
      <c r="AR249" s="35"/>
      <c r="AS249" s="36"/>
    </row>
    <row r="250" spans="1:45" ht="42.75" x14ac:dyDescent="0.45">
      <c r="A250" s="1" t="s">
        <v>71</v>
      </c>
      <c r="B250" s="1" t="s">
        <v>65</v>
      </c>
      <c r="C250" s="1">
        <v>106</v>
      </c>
      <c r="D250" s="1">
        <v>250.28</v>
      </c>
      <c r="E250" s="1">
        <v>-0.1</v>
      </c>
      <c r="F250" s="1">
        <v>1.57</v>
      </c>
      <c r="G250" s="1">
        <v>1.93</v>
      </c>
      <c r="H250" s="1">
        <v>0.87</v>
      </c>
      <c r="I250" s="1">
        <v>0.86</v>
      </c>
      <c r="J250" s="1">
        <v>1.49</v>
      </c>
      <c r="K250" s="1" t="s">
        <v>67</v>
      </c>
      <c r="M250" s="1">
        <v>0.42</v>
      </c>
      <c r="N250" s="1">
        <v>1.1499999999999999</v>
      </c>
      <c r="P250" s="1">
        <v>7.2</v>
      </c>
      <c r="Q250" s="1">
        <v>35.5</v>
      </c>
      <c r="R250" s="1" t="s">
        <v>72</v>
      </c>
      <c r="S250" s="1">
        <v>307.27999999999997</v>
      </c>
      <c r="T250" s="1">
        <v>377</v>
      </c>
      <c r="U250" s="1">
        <v>1.82</v>
      </c>
      <c r="V250" s="1">
        <v>9.4</v>
      </c>
      <c r="W250" s="1">
        <v>0.2</v>
      </c>
      <c r="X250" s="1">
        <f t="shared" si="34"/>
        <v>200</v>
      </c>
      <c r="Y250" s="1">
        <v>3.3000000000000002E-2</v>
      </c>
      <c r="Z250" s="1">
        <v>8.0000000000000002E-3</v>
      </c>
      <c r="AA250" s="1">
        <v>4.9305236607142797</v>
      </c>
      <c r="AB250" s="1">
        <v>6.8</v>
      </c>
      <c r="AC250" s="1">
        <v>25</v>
      </c>
      <c r="AD250" s="1" t="s">
        <v>66</v>
      </c>
      <c r="AE250" s="1">
        <v>10</v>
      </c>
      <c r="AH250" s="1">
        <v>0.87727032608695499</v>
      </c>
      <c r="AJ250" s="1">
        <f t="shared" si="39"/>
        <v>0.12272967391304501</v>
      </c>
      <c r="AK250" s="1">
        <f t="shared" si="38"/>
        <v>-2.0977711153220251</v>
      </c>
      <c r="AM250">
        <v>32</v>
      </c>
      <c r="AN250">
        <f>IF(ISNUMBER(AJ250),IF(AJ250&gt;=0.05,1,0),"")</f>
        <v>1</v>
      </c>
      <c r="AO250">
        <f>IF(ISNUMBER(AJ250),IF(AJ250&lt;0.005,1,0),"")</f>
        <v>0</v>
      </c>
      <c r="AQ250" s="34"/>
      <c r="AR250" s="35"/>
      <c r="AS250" s="36"/>
    </row>
    <row r="251" spans="1:45" ht="42.75" x14ac:dyDescent="0.45">
      <c r="A251" s="1" t="s">
        <v>71</v>
      </c>
      <c r="B251" s="1" t="s">
        <v>65</v>
      </c>
      <c r="C251" s="1">
        <v>106</v>
      </c>
      <c r="D251" s="1">
        <v>250.28</v>
      </c>
      <c r="E251" s="1">
        <v>-0.1</v>
      </c>
      <c r="F251" s="1">
        <v>1.57</v>
      </c>
      <c r="G251" s="1">
        <v>1.93</v>
      </c>
      <c r="H251" s="1">
        <v>0.87</v>
      </c>
      <c r="I251" s="1">
        <v>0.86</v>
      </c>
      <c r="J251" s="1">
        <v>1.49</v>
      </c>
      <c r="K251" s="1" t="s">
        <v>67</v>
      </c>
      <c r="M251" s="1">
        <v>0.42</v>
      </c>
      <c r="N251" s="1">
        <v>1.1499999999999999</v>
      </c>
      <c r="P251" s="1">
        <v>7.2</v>
      </c>
      <c r="Q251" s="1">
        <v>35.5</v>
      </c>
      <c r="R251" s="1" t="s">
        <v>72</v>
      </c>
      <c r="S251" s="1">
        <v>307.27999999999997</v>
      </c>
      <c r="T251" s="1">
        <v>377</v>
      </c>
      <c r="U251" s="1">
        <v>1.82</v>
      </c>
      <c r="V251" s="1">
        <v>9.4</v>
      </c>
      <c r="W251" s="1">
        <v>0.2</v>
      </c>
      <c r="X251" s="1">
        <f t="shared" si="34"/>
        <v>200</v>
      </c>
      <c r="Y251" s="1">
        <v>3.3000000000000002E-2</v>
      </c>
      <c r="Z251" s="1">
        <v>8.0000000000000002E-3</v>
      </c>
      <c r="AA251" s="1">
        <v>7.9288200892857104</v>
      </c>
      <c r="AB251" s="1">
        <v>6.8</v>
      </c>
      <c r="AC251" s="1">
        <v>25</v>
      </c>
      <c r="AD251" s="1" t="s">
        <v>66</v>
      </c>
      <c r="AE251" s="1">
        <v>10</v>
      </c>
      <c r="AH251" s="1">
        <v>0.90768782608695531</v>
      </c>
      <c r="AJ251" s="1">
        <f t="shared" si="39"/>
        <v>9.2312173913044693E-2</v>
      </c>
      <c r="AK251" s="1">
        <f t="shared" si="38"/>
        <v>-2.3825792511214794</v>
      </c>
      <c r="AM251">
        <v>32</v>
      </c>
      <c r="AN251">
        <f>IF(ISNUMBER(AJ251),IF(AJ251&gt;=0.05,1,0),"")</f>
        <v>1</v>
      </c>
      <c r="AO251">
        <f>IF(ISNUMBER(AJ251),IF(AJ251&lt;0.005,1,0),"")</f>
        <v>0</v>
      </c>
      <c r="AQ251" s="34"/>
      <c r="AR251" s="35"/>
      <c r="AS251" s="36"/>
    </row>
    <row r="252" spans="1:45" ht="42.75" x14ac:dyDescent="0.45">
      <c r="A252" s="1" t="s">
        <v>71</v>
      </c>
      <c r="B252" s="1" t="s">
        <v>65</v>
      </c>
      <c r="C252" s="1">
        <v>106</v>
      </c>
      <c r="D252" s="1">
        <v>250.28</v>
      </c>
      <c r="E252" s="1">
        <v>-0.1</v>
      </c>
      <c r="F252" s="1">
        <v>1.57</v>
      </c>
      <c r="G252" s="1">
        <v>1.93</v>
      </c>
      <c r="H252" s="1">
        <v>0.87</v>
      </c>
      <c r="I252" s="1">
        <v>0.86</v>
      </c>
      <c r="J252" s="1">
        <v>1.49</v>
      </c>
      <c r="K252" s="1" t="s">
        <v>67</v>
      </c>
      <c r="M252" s="1">
        <v>0.42</v>
      </c>
      <c r="N252" s="1">
        <v>1.1499999999999999</v>
      </c>
      <c r="P252" s="1">
        <v>7.2</v>
      </c>
      <c r="Q252" s="1">
        <v>35.5</v>
      </c>
      <c r="R252" s="1" t="s">
        <v>72</v>
      </c>
      <c r="S252" s="1">
        <v>307.27999999999997</v>
      </c>
      <c r="T252" s="1">
        <v>377</v>
      </c>
      <c r="U252" s="1">
        <v>1.82</v>
      </c>
      <c r="V252" s="1">
        <v>9.4</v>
      </c>
      <c r="W252" s="1">
        <v>0.2</v>
      </c>
      <c r="X252" s="1">
        <f t="shared" si="34"/>
        <v>200</v>
      </c>
      <c r="Y252" s="1">
        <v>3.3000000000000002E-2</v>
      </c>
      <c r="Z252" s="1">
        <v>8.0000000000000002E-3</v>
      </c>
      <c r="AA252" s="1">
        <v>11.864084151785701</v>
      </c>
      <c r="AB252" s="1">
        <v>6.8</v>
      </c>
      <c r="AC252" s="1">
        <v>25</v>
      </c>
      <c r="AD252" s="1" t="s">
        <v>66</v>
      </c>
      <c r="AE252" s="1">
        <v>10</v>
      </c>
      <c r="AH252" s="1">
        <v>0.93810532608695463</v>
      </c>
      <c r="AJ252" s="1">
        <f t="shared" si="39"/>
        <v>6.1894673913045373E-2</v>
      </c>
      <c r="AK252" s="1">
        <f t="shared" si="38"/>
        <v>-2.7823211464015238</v>
      </c>
      <c r="AM252">
        <v>32</v>
      </c>
      <c r="AN252">
        <f>IF(ISNUMBER(AJ252),IF(AJ252&gt;=0.05,1,0),"")</f>
        <v>1</v>
      </c>
      <c r="AO252">
        <f>IF(ISNUMBER(AJ252),IF(AJ252&lt;0.005,1,0),"")</f>
        <v>0</v>
      </c>
      <c r="AQ252" s="34"/>
      <c r="AR252" s="35"/>
      <c r="AS252" s="36"/>
    </row>
    <row r="253" spans="1:45" ht="42.75" x14ac:dyDescent="0.45">
      <c r="A253" s="1" t="s">
        <v>71</v>
      </c>
      <c r="B253" s="1" t="s">
        <v>65</v>
      </c>
      <c r="C253" s="1">
        <v>106</v>
      </c>
      <c r="D253" s="1">
        <v>250.28</v>
      </c>
      <c r="E253" s="1">
        <v>-0.1</v>
      </c>
      <c r="F253" s="1">
        <v>1.57</v>
      </c>
      <c r="G253" s="1">
        <v>1.93</v>
      </c>
      <c r="H253" s="1">
        <v>0.87</v>
      </c>
      <c r="I253" s="1">
        <v>0.86</v>
      </c>
      <c r="J253" s="1">
        <v>1.49</v>
      </c>
      <c r="K253" s="1" t="s">
        <v>67</v>
      </c>
      <c r="M253" s="1">
        <v>0.42</v>
      </c>
      <c r="N253" s="1">
        <v>1.1499999999999999</v>
      </c>
      <c r="P253" s="1">
        <v>7.2</v>
      </c>
      <c r="Q253" s="1">
        <v>35.5</v>
      </c>
      <c r="R253" s="1" t="s">
        <v>72</v>
      </c>
      <c r="S253" s="1">
        <v>307.27999999999997</v>
      </c>
      <c r="T253" s="1">
        <v>377</v>
      </c>
      <c r="U253" s="1">
        <v>1.82</v>
      </c>
      <c r="V253" s="1">
        <v>9.4</v>
      </c>
      <c r="W253" s="1">
        <v>0.2</v>
      </c>
      <c r="X253" s="1">
        <f t="shared" si="34"/>
        <v>200</v>
      </c>
      <c r="Y253" s="1">
        <v>3.3000000000000002E-2</v>
      </c>
      <c r="Z253" s="1">
        <v>8.0000000000000002E-3</v>
      </c>
      <c r="AA253" s="1">
        <v>16.111670758928501</v>
      </c>
      <c r="AB253" s="1">
        <v>6.8</v>
      </c>
      <c r="AC253" s="1">
        <v>25</v>
      </c>
      <c r="AD253" s="1" t="s">
        <v>66</v>
      </c>
      <c r="AE253" s="1">
        <v>10</v>
      </c>
      <c r="AH253" s="1">
        <v>0.98677332608695556</v>
      </c>
      <c r="AJ253" s="1">
        <f t="shared" si="39"/>
        <v>1.322667391304444E-2</v>
      </c>
      <c r="AK253" s="1">
        <f t="shared" si="38"/>
        <v>-4.3255197373725016</v>
      </c>
      <c r="AM253">
        <v>32</v>
      </c>
      <c r="AN253">
        <f>IF(ISNUMBER(AJ253),IF(AJ253&gt;=0.05,1,0),"")</f>
        <v>0</v>
      </c>
      <c r="AO253">
        <f>IF(ISNUMBER(AJ253),IF(AJ253&lt;0.005,1,0),"")</f>
        <v>0</v>
      </c>
      <c r="AQ253" s="34"/>
      <c r="AR253" s="35"/>
      <c r="AS253" s="36"/>
    </row>
    <row r="254" spans="1:45" ht="42.75" x14ac:dyDescent="0.45">
      <c r="A254" s="1" t="s">
        <v>71</v>
      </c>
      <c r="B254" s="1" t="s">
        <v>65</v>
      </c>
      <c r="C254" s="1">
        <v>106</v>
      </c>
      <c r="D254" s="1">
        <v>250.28</v>
      </c>
      <c r="E254" s="1">
        <v>-0.1</v>
      </c>
      <c r="F254" s="1">
        <v>1.57</v>
      </c>
      <c r="G254" s="1">
        <v>1.93</v>
      </c>
      <c r="H254" s="1">
        <v>0.87</v>
      </c>
      <c r="I254" s="1">
        <v>0.86</v>
      </c>
      <c r="J254" s="1">
        <v>1.49</v>
      </c>
      <c r="K254" s="1" t="s">
        <v>67</v>
      </c>
      <c r="M254" s="1">
        <v>0.42</v>
      </c>
      <c r="N254" s="1">
        <v>1.1499999999999999</v>
      </c>
      <c r="P254" s="1">
        <v>7.2</v>
      </c>
      <c r="Q254" s="1">
        <v>35.5</v>
      </c>
      <c r="R254" s="1" t="s">
        <v>72</v>
      </c>
      <c r="S254" s="1">
        <v>307.27999999999997</v>
      </c>
      <c r="T254" s="1">
        <v>377</v>
      </c>
      <c r="U254" s="1">
        <v>1.82</v>
      </c>
      <c r="V254" s="1">
        <v>9.4</v>
      </c>
      <c r="W254" s="1">
        <v>0.2</v>
      </c>
      <c r="X254" s="1">
        <f t="shared" si="34"/>
        <v>200</v>
      </c>
      <c r="Y254" s="1">
        <v>3.3000000000000002E-2</v>
      </c>
      <c r="Z254" s="1">
        <v>8.0000000000000002E-3</v>
      </c>
      <c r="AA254" s="1">
        <v>24.0446633928571</v>
      </c>
      <c r="AB254" s="1">
        <v>6.8</v>
      </c>
      <c r="AC254" s="1">
        <v>25</v>
      </c>
      <c r="AD254" s="1" t="s">
        <v>66</v>
      </c>
      <c r="AE254" s="1">
        <v>10</v>
      </c>
      <c r="AH254" s="1">
        <v>0.99285682608695491</v>
      </c>
      <c r="AJ254" s="1">
        <f t="shared" si="39"/>
        <v>7.1431739130450866E-3</v>
      </c>
      <c r="AK254" s="1">
        <f t="shared" si="38"/>
        <v>-4.9415980757663283</v>
      </c>
      <c r="AM254">
        <v>32</v>
      </c>
      <c r="AN254">
        <f>IF(ISNUMBER(AJ254),IF(AJ254&gt;=0.05,1,0),"")</f>
        <v>0</v>
      </c>
      <c r="AO254">
        <f>IF(ISNUMBER(AJ254),IF(AJ254&lt;0.005,1,0),"")</f>
        <v>0</v>
      </c>
      <c r="AQ254" s="34"/>
      <c r="AR254" s="35"/>
      <c r="AS254" s="36"/>
    </row>
    <row r="255" spans="1:45" ht="42.75" x14ac:dyDescent="0.45">
      <c r="A255" s="1" t="s">
        <v>73</v>
      </c>
      <c r="B255" s="1" t="s">
        <v>69</v>
      </c>
      <c r="C255" s="1">
        <v>106</v>
      </c>
      <c r="D255" s="1">
        <v>250.28</v>
      </c>
      <c r="E255" s="1">
        <v>-0.1</v>
      </c>
      <c r="F255" s="1">
        <v>1.57</v>
      </c>
      <c r="G255" s="1">
        <v>1.93</v>
      </c>
      <c r="H255" s="1">
        <v>0.87</v>
      </c>
      <c r="I255" s="1">
        <v>0.86</v>
      </c>
      <c r="J255" s="1">
        <v>1.49</v>
      </c>
      <c r="K255" s="1" t="s">
        <v>67</v>
      </c>
      <c r="M255" s="1">
        <v>0.42</v>
      </c>
      <c r="N255" s="1">
        <v>1.1499999999999999</v>
      </c>
      <c r="P255" s="1">
        <v>7.2</v>
      </c>
      <c r="Q255" s="1">
        <v>35.5</v>
      </c>
      <c r="R255" s="1" t="s">
        <v>63</v>
      </c>
      <c r="S255" s="1">
        <v>307.27999999999997</v>
      </c>
      <c r="T255" s="1">
        <v>377</v>
      </c>
      <c r="U255" s="1">
        <v>1.82</v>
      </c>
      <c r="V255" s="1">
        <v>9.4</v>
      </c>
      <c r="W255" s="1">
        <v>0.1</v>
      </c>
      <c r="X255" s="1">
        <f t="shared" si="34"/>
        <v>100</v>
      </c>
      <c r="Y255" s="1">
        <v>3.3000000000000002E-2</v>
      </c>
      <c r="Z255" s="1">
        <v>8.7999999999999995E-2</v>
      </c>
      <c r="AA255" s="1">
        <v>0</v>
      </c>
      <c r="AB255" s="1">
        <v>6.8</v>
      </c>
      <c r="AC255" s="1">
        <v>25</v>
      </c>
      <c r="AD255" s="1" t="s">
        <v>66</v>
      </c>
      <c r="AE255" s="1">
        <v>10</v>
      </c>
      <c r="AH255" s="1">
        <v>0</v>
      </c>
      <c r="AI255" s="1">
        <f>-AK262/AA262</f>
        <v>2.1361798812032332E-2</v>
      </c>
      <c r="AJ255" s="1">
        <f t="shared" ref="AJ255" si="43">1-AH255</f>
        <v>1</v>
      </c>
      <c r="AK255" s="1">
        <f t="shared" si="38"/>
        <v>0</v>
      </c>
      <c r="AL255" s="1">
        <v>2.1589645181059498E-2</v>
      </c>
      <c r="AM255">
        <v>33</v>
      </c>
      <c r="AN255">
        <f>IF(ISNUMBER(AJ255),IF(AJ255&gt;=0.05,1,0),"")</f>
        <v>1</v>
      </c>
      <c r="AO255">
        <f>IF(ISNUMBER(AJ255),IF(AJ255&lt;0.005,1,0),"")</f>
        <v>0</v>
      </c>
      <c r="AP255">
        <f>IFERROR(MATCH(0,AN255:AN262,0)-1,8)</f>
        <v>8</v>
      </c>
      <c r="AQ255" s="34">
        <f>IF(AP255&lt;3,"n&lt;3",IFERROR(-SLOPE(AK255:INDEX(AK255:AK262,AP255),AA255:INDEX(AA255:AA262,AP255)),"no fit"))</f>
        <v>2.2836514930204086E-2</v>
      </c>
      <c r="AR255" s="35">
        <f>IF(AP255&lt;3,"",IFERROR(RSQ(AK255:INDEX(AK255:AK262,AP255),AA255:INDEX(AA255:AA262,AP255)),"flat"))</f>
        <v>0.9600851245308043</v>
      </c>
      <c r="AS255" s="36">
        <f>IFERROR(AQ255/AI255,"")</f>
        <v>1.0690352030345449</v>
      </c>
    </row>
    <row r="256" spans="1:45" ht="42.75" x14ac:dyDescent="0.45">
      <c r="A256" s="1" t="s">
        <v>73</v>
      </c>
      <c r="B256" s="1" t="s">
        <v>69</v>
      </c>
      <c r="C256" s="1">
        <v>106</v>
      </c>
      <c r="D256" s="1">
        <v>250.28</v>
      </c>
      <c r="E256" s="1">
        <v>-0.1</v>
      </c>
      <c r="F256" s="1">
        <v>1.57</v>
      </c>
      <c r="G256" s="1">
        <v>1.93</v>
      </c>
      <c r="H256" s="1">
        <v>0.87</v>
      </c>
      <c r="I256" s="1">
        <v>0.86</v>
      </c>
      <c r="J256" s="1">
        <v>1.49</v>
      </c>
      <c r="K256" s="1" t="s">
        <v>67</v>
      </c>
      <c r="M256" s="1">
        <v>0.42</v>
      </c>
      <c r="N256" s="1">
        <v>1.1499999999999999</v>
      </c>
      <c r="P256" s="1">
        <v>7.2</v>
      </c>
      <c r="Q256" s="1">
        <v>35.5</v>
      </c>
      <c r="R256" s="1" t="s">
        <v>63</v>
      </c>
      <c r="S256" s="1">
        <v>307.27999999999997</v>
      </c>
      <c r="T256" s="1">
        <v>377</v>
      </c>
      <c r="U256" s="1">
        <v>1.82</v>
      </c>
      <c r="V256" s="1">
        <v>9.4</v>
      </c>
      <c r="W256" s="1">
        <v>0.1</v>
      </c>
      <c r="X256" s="1">
        <f t="shared" si="34"/>
        <v>100</v>
      </c>
      <c r="Y256" s="1">
        <v>3.3000000000000002E-2</v>
      </c>
      <c r="Z256" s="1">
        <v>8.7999999999999995E-2</v>
      </c>
      <c r="AA256" s="1">
        <v>1.0869565217391199</v>
      </c>
      <c r="AB256" s="1">
        <v>6.8</v>
      </c>
      <c r="AC256" s="1">
        <v>25</v>
      </c>
      <c r="AD256" s="1" t="s">
        <v>66</v>
      </c>
      <c r="AE256" s="1">
        <v>10</v>
      </c>
      <c r="AH256" s="1">
        <v>1.7857142857141017E-2</v>
      </c>
      <c r="AJ256" s="1">
        <f t="shared" si="39"/>
        <v>0.98214285714285898</v>
      </c>
      <c r="AK256" s="1">
        <f t="shared" si="38"/>
        <v>-1.8018505502676443E-2</v>
      </c>
      <c r="AM256">
        <v>33</v>
      </c>
      <c r="AN256">
        <f>IF(ISNUMBER(AJ256),IF(AJ256&gt;=0.05,1,0),"")</f>
        <v>1</v>
      </c>
      <c r="AO256">
        <f>IF(ISNUMBER(AJ256),IF(AJ256&lt;0.005,1,0),"")</f>
        <v>0</v>
      </c>
      <c r="AQ256" s="34"/>
      <c r="AR256" s="35"/>
      <c r="AS256" s="36"/>
    </row>
    <row r="257" spans="1:45" ht="42.75" x14ac:dyDescent="0.45">
      <c r="A257" s="1" t="s">
        <v>73</v>
      </c>
      <c r="B257" s="1" t="s">
        <v>69</v>
      </c>
      <c r="C257" s="1">
        <v>106</v>
      </c>
      <c r="D257" s="1">
        <v>250.28</v>
      </c>
      <c r="E257" s="1">
        <v>-0.1</v>
      </c>
      <c r="F257" s="1">
        <v>1.57</v>
      </c>
      <c r="G257" s="1">
        <v>1.93</v>
      </c>
      <c r="H257" s="1">
        <v>0.87</v>
      </c>
      <c r="I257" s="1">
        <v>0.86</v>
      </c>
      <c r="J257" s="1">
        <v>1.49</v>
      </c>
      <c r="K257" s="1" t="s">
        <v>67</v>
      </c>
      <c r="M257" s="1">
        <v>0.42</v>
      </c>
      <c r="N257" s="1">
        <v>1.1499999999999999</v>
      </c>
      <c r="P257" s="1">
        <v>7.2</v>
      </c>
      <c r="Q257" s="1">
        <v>35.5</v>
      </c>
      <c r="R257" s="1" t="s">
        <v>63</v>
      </c>
      <c r="S257" s="1">
        <v>307.27999999999997</v>
      </c>
      <c r="T257" s="1">
        <v>377</v>
      </c>
      <c r="U257" s="1">
        <v>1.82</v>
      </c>
      <c r="V257" s="1">
        <v>9.4</v>
      </c>
      <c r="W257" s="1">
        <v>0.1</v>
      </c>
      <c r="X257" s="1">
        <f t="shared" si="34"/>
        <v>100</v>
      </c>
      <c r="Y257" s="1">
        <v>3.3000000000000002E-2</v>
      </c>
      <c r="Z257" s="1">
        <v>8.7999999999999995E-2</v>
      </c>
      <c r="AA257" s="1">
        <v>2.97101449275362</v>
      </c>
      <c r="AB257" s="1">
        <v>6.8</v>
      </c>
      <c r="AC257" s="1">
        <v>25</v>
      </c>
      <c r="AD257" s="1" t="s">
        <v>66</v>
      </c>
      <c r="AE257" s="1">
        <v>10</v>
      </c>
      <c r="AH257" s="1">
        <v>8.5714285714284966E-2</v>
      </c>
      <c r="AJ257" s="1">
        <f t="shared" si="39"/>
        <v>0.91428571428571503</v>
      </c>
      <c r="AK257" s="1">
        <f t="shared" si="38"/>
        <v>-8.9612158689686319E-2</v>
      </c>
      <c r="AM257">
        <v>33</v>
      </c>
      <c r="AN257">
        <f>IF(ISNUMBER(AJ257),IF(AJ257&gt;=0.05,1,0),"")</f>
        <v>1</v>
      </c>
      <c r="AO257">
        <f>IF(ISNUMBER(AJ257),IF(AJ257&lt;0.005,1,0),"")</f>
        <v>0</v>
      </c>
      <c r="AQ257" s="34"/>
      <c r="AR257" s="35"/>
      <c r="AS257" s="36"/>
    </row>
    <row r="258" spans="1:45" ht="42.75" x14ac:dyDescent="0.45">
      <c r="A258" s="1" t="s">
        <v>73</v>
      </c>
      <c r="B258" s="1" t="s">
        <v>69</v>
      </c>
      <c r="C258" s="1">
        <v>106</v>
      </c>
      <c r="D258" s="1">
        <v>250.28</v>
      </c>
      <c r="E258" s="1">
        <v>-0.1</v>
      </c>
      <c r="F258" s="1">
        <v>1.57</v>
      </c>
      <c r="G258" s="1">
        <v>1.93</v>
      </c>
      <c r="H258" s="1">
        <v>0.87</v>
      </c>
      <c r="I258" s="1">
        <v>0.86</v>
      </c>
      <c r="J258" s="1">
        <v>1.49</v>
      </c>
      <c r="K258" s="1" t="s">
        <v>67</v>
      </c>
      <c r="M258" s="1">
        <v>0.42</v>
      </c>
      <c r="N258" s="1">
        <v>1.1499999999999999</v>
      </c>
      <c r="P258" s="1">
        <v>7.2</v>
      </c>
      <c r="Q258" s="1">
        <v>35.5</v>
      </c>
      <c r="R258" s="1" t="s">
        <v>63</v>
      </c>
      <c r="S258" s="1">
        <v>307.27999999999997</v>
      </c>
      <c r="T258" s="1">
        <v>377</v>
      </c>
      <c r="U258" s="1">
        <v>1.82</v>
      </c>
      <c r="V258" s="1">
        <v>9.4</v>
      </c>
      <c r="W258" s="1">
        <v>0.1</v>
      </c>
      <c r="X258" s="1">
        <f t="shared" si="34"/>
        <v>100</v>
      </c>
      <c r="Y258" s="1">
        <v>3.3000000000000002E-2</v>
      </c>
      <c r="Z258" s="1">
        <v>8.7999999999999995E-2</v>
      </c>
      <c r="AA258" s="1">
        <v>5</v>
      </c>
      <c r="AB258" s="1">
        <v>6.8</v>
      </c>
      <c r="AC258" s="1">
        <v>25</v>
      </c>
      <c r="AD258" s="1" t="s">
        <v>66</v>
      </c>
      <c r="AE258" s="1">
        <v>10</v>
      </c>
      <c r="AH258" s="1">
        <v>0.14999999999999902</v>
      </c>
      <c r="AJ258" s="1">
        <f t="shared" si="39"/>
        <v>0.85000000000000098</v>
      </c>
      <c r="AK258" s="1">
        <f t="shared" si="38"/>
        <v>-0.16251892949777377</v>
      </c>
      <c r="AM258">
        <v>33</v>
      </c>
      <c r="AN258">
        <f>IF(ISNUMBER(AJ258),IF(AJ258&gt;=0.05,1,0),"")</f>
        <v>1</v>
      </c>
      <c r="AO258">
        <f>IF(ISNUMBER(AJ258),IF(AJ258&lt;0.005,1,0),"")</f>
        <v>0</v>
      </c>
      <c r="AQ258" s="34"/>
      <c r="AR258" s="35"/>
      <c r="AS258" s="36"/>
    </row>
    <row r="259" spans="1:45" ht="42.75" x14ac:dyDescent="0.45">
      <c r="A259" s="1" t="s">
        <v>73</v>
      </c>
      <c r="B259" s="1" t="s">
        <v>69</v>
      </c>
      <c r="C259" s="1">
        <v>106</v>
      </c>
      <c r="D259" s="1">
        <v>250.28</v>
      </c>
      <c r="E259" s="1">
        <v>-0.1</v>
      </c>
      <c r="F259" s="1">
        <v>1.57</v>
      </c>
      <c r="G259" s="1">
        <v>1.93</v>
      </c>
      <c r="H259" s="1">
        <v>0.87</v>
      </c>
      <c r="I259" s="1">
        <v>0.86</v>
      </c>
      <c r="J259" s="1">
        <v>1.49</v>
      </c>
      <c r="K259" s="1" t="s">
        <v>67</v>
      </c>
      <c r="M259" s="1">
        <v>0.42</v>
      </c>
      <c r="N259" s="1">
        <v>1.1499999999999999</v>
      </c>
      <c r="P259" s="1">
        <v>7.2</v>
      </c>
      <c r="Q259" s="1">
        <v>35.5</v>
      </c>
      <c r="R259" s="1" t="s">
        <v>63</v>
      </c>
      <c r="S259" s="1">
        <v>307.27999999999997</v>
      </c>
      <c r="T259" s="1">
        <v>377</v>
      </c>
      <c r="U259" s="1">
        <v>1.82</v>
      </c>
      <c r="V259" s="1">
        <v>9.4</v>
      </c>
      <c r="W259" s="1">
        <v>0.1</v>
      </c>
      <c r="X259" s="1">
        <f t="shared" si="34"/>
        <v>100</v>
      </c>
      <c r="Y259" s="1">
        <v>3.3000000000000002E-2</v>
      </c>
      <c r="Z259" s="1">
        <v>8.7999999999999995E-2</v>
      </c>
      <c r="AA259" s="1">
        <v>8.1884057971014492</v>
      </c>
      <c r="AB259" s="1">
        <v>6.8</v>
      </c>
      <c r="AC259" s="1">
        <v>25</v>
      </c>
      <c r="AD259" s="1" t="s">
        <v>66</v>
      </c>
      <c r="AE259" s="1">
        <v>10</v>
      </c>
      <c r="AH259" s="1">
        <v>0.19999999999999896</v>
      </c>
      <c r="AJ259" s="1">
        <f t="shared" si="39"/>
        <v>0.80000000000000104</v>
      </c>
      <c r="AK259" s="1">
        <f t="shared" si="38"/>
        <v>-0.22314355131420846</v>
      </c>
      <c r="AM259">
        <v>33</v>
      </c>
      <c r="AN259">
        <f>IF(ISNUMBER(AJ259),IF(AJ259&gt;=0.05,1,0),"")</f>
        <v>1</v>
      </c>
      <c r="AO259">
        <f>IF(ISNUMBER(AJ259),IF(AJ259&lt;0.005,1,0),"")</f>
        <v>0</v>
      </c>
      <c r="AQ259" s="34"/>
      <c r="AR259" s="35"/>
      <c r="AS259" s="36"/>
    </row>
    <row r="260" spans="1:45" ht="42.75" x14ac:dyDescent="0.45">
      <c r="A260" s="1" t="s">
        <v>73</v>
      </c>
      <c r="B260" s="1" t="s">
        <v>69</v>
      </c>
      <c r="C260" s="1">
        <v>106</v>
      </c>
      <c r="D260" s="1">
        <v>250.28</v>
      </c>
      <c r="E260" s="1">
        <v>-0.1</v>
      </c>
      <c r="F260" s="1">
        <v>1.57</v>
      </c>
      <c r="G260" s="1">
        <v>1.93</v>
      </c>
      <c r="H260" s="1">
        <v>0.87</v>
      </c>
      <c r="I260" s="1">
        <v>0.86</v>
      </c>
      <c r="J260" s="1">
        <v>1.49</v>
      </c>
      <c r="K260" s="1" t="s">
        <v>67</v>
      </c>
      <c r="M260" s="1">
        <v>0.42</v>
      </c>
      <c r="N260" s="1">
        <v>1.1499999999999999</v>
      </c>
      <c r="P260" s="1">
        <v>7.2</v>
      </c>
      <c r="Q260" s="1">
        <v>35.5</v>
      </c>
      <c r="R260" s="1" t="s">
        <v>63</v>
      </c>
      <c r="S260" s="1">
        <v>307.27999999999997</v>
      </c>
      <c r="T260" s="1">
        <v>377</v>
      </c>
      <c r="U260" s="1">
        <v>1.82</v>
      </c>
      <c r="V260" s="1">
        <v>9.4</v>
      </c>
      <c r="W260" s="1">
        <v>0.1</v>
      </c>
      <c r="X260" s="1">
        <f t="shared" ref="X260:X323" si="44">W260*1000</f>
        <v>100</v>
      </c>
      <c r="Y260" s="1">
        <v>3.3000000000000002E-2</v>
      </c>
      <c r="Z260" s="1">
        <v>8.7999999999999995E-2</v>
      </c>
      <c r="AA260" s="1">
        <v>11.8840579710144</v>
      </c>
      <c r="AB260" s="1">
        <v>6.8</v>
      </c>
      <c r="AC260" s="1">
        <v>25</v>
      </c>
      <c r="AD260" s="1" t="s">
        <v>66</v>
      </c>
      <c r="AE260" s="1">
        <v>10</v>
      </c>
      <c r="AH260" s="1">
        <v>0.26785714285714202</v>
      </c>
      <c r="AJ260" s="1">
        <f t="shared" si="39"/>
        <v>0.73214285714285798</v>
      </c>
      <c r="AK260" s="1">
        <f t="shared" si="38"/>
        <v>-0.31177962403084031</v>
      </c>
      <c r="AM260">
        <v>33</v>
      </c>
      <c r="AN260">
        <f>IF(ISNUMBER(AJ260),IF(AJ260&gt;=0.05,1,0),"")</f>
        <v>1</v>
      </c>
      <c r="AO260">
        <f>IF(ISNUMBER(AJ260),IF(AJ260&lt;0.005,1,0),"")</f>
        <v>0</v>
      </c>
      <c r="AQ260" s="34"/>
      <c r="AR260" s="35"/>
      <c r="AS260" s="36"/>
    </row>
    <row r="261" spans="1:45" ht="42.75" x14ac:dyDescent="0.45">
      <c r="A261" s="1" t="s">
        <v>73</v>
      </c>
      <c r="B261" s="1" t="s">
        <v>69</v>
      </c>
      <c r="C261" s="1">
        <v>106</v>
      </c>
      <c r="D261" s="1">
        <v>250.28</v>
      </c>
      <c r="E261" s="1">
        <v>-0.1</v>
      </c>
      <c r="F261" s="1">
        <v>1.57</v>
      </c>
      <c r="G261" s="1">
        <v>1.93</v>
      </c>
      <c r="H261" s="1">
        <v>0.87</v>
      </c>
      <c r="I261" s="1">
        <v>0.86</v>
      </c>
      <c r="J261" s="1">
        <v>1.49</v>
      </c>
      <c r="K261" s="1" t="s">
        <v>67</v>
      </c>
      <c r="M261" s="1">
        <v>0.42</v>
      </c>
      <c r="N261" s="1">
        <v>1.1499999999999999</v>
      </c>
      <c r="P261" s="1">
        <v>7.2</v>
      </c>
      <c r="Q261" s="1">
        <v>35.5</v>
      </c>
      <c r="R261" s="1" t="s">
        <v>63</v>
      </c>
      <c r="S261" s="1">
        <v>307.27999999999997</v>
      </c>
      <c r="T261" s="1">
        <v>377</v>
      </c>
      <c r="U261" s="1">
        <v>1.82</v>
      </c>
      <c r="V261" s="1">
        <v>9.4</v>
      </c>
      <c r="W261" s="1">
        <v>0.1</v>
      </c>
      <c r="X261" s="1">
        <f t="shared" si="44"/>
        <v>100</v>
      </c>
      <c r="Y261" s="1">
        <v>3.3000000000000002E-2</v>
      </c>
      <c r="Z261" s="1">
        <v>8.7999999999999995E-2</v>
      </c>
      <c r="AA261" s="1">
        <v>16.159420289854999</v>
      </c>
      <c r="AB261" s="1">
        <v>6.8</v>
      </c>
      <c r="AC261" s="1">
        <v>25</v>
      </c>
      <c r="AD261" s="1" t="s">
        <v>66</v>
      </c>
      <c r="AE261" s="1">
        <v>10</v>
      </c>
      <c r="AH261" s="1">
        <v>0.36785714285714299</v>
      </c>
      <c r="AJ261" s="1">
        <f t="shared" si="39"/>
        <v>0.63214285714285701</v>
      </c>
      <c r="AK261" s="1">
        <f t="shared" si="38"/>
        <v>-0.45863987059542066</v>
      </c>
      <c r="AM261">
        <v>33</v>
      </c>
      <c r="AN261">
        <f>IF(ISNUMBER(AJ261),IF(AJ261&gt;=0.05,1,0),"")</f>
        <v>1</v>
      </c>
      <c r="AO261">
        <f>IF(ISNUMBER(AJ261),IF(AJ261&lt;0.005,1,0),"")</f>
        <v>0</v>
      </c>
      <c r="AQ261" s="34"/>
      <c r="AR261" s="35"/>
      <c r="AS261" s="36"/>
    </row>
    <row r="262" spans="1:45" ht="42.75" x14ac:dyDescent="0.45">
      <c r="A262" s="1" t="s">
        <v>73</v>
      </c>
      <c r="B262" s="1" t="s">
        <v>69</v>
      </c>
      <c r="C262" s="1">
        <v>106</v>
      </c>
      <c r="D262" s="1">
        <v>250.28</v>
      </c>
      <c r="E262" s="1">
        <v>-0.1</v>
      </c>
      <c r="F262" s="1">
        <v>1.57</v>
      </c>
      <c r="G262" s="1">
        <v>1.93</v>
      </c>
      <c r="H262" s="1">
        <v>0.87</v>
      </c>
      <c r="I262" s="1">
        <v>0.86</v>
      </c>
      <c r="J262" s="1">
        <v>1.49</v>
      </c>
      <c r="K262" s="1" t="s">
        <v>67</v>
      </c>
      <c r="M262" s="1">
        <v>0.42</v>
      </c>
      <c r="N262" s="1">
        <v>1.1499999999999999</v>
      </c>
      <c r="P262" s="1">
        <v>7.2</v>
      </c>
      <c r="Q262" s="1">
        <v>35.5</v>
      </c>
      <c r="R262" s="1" t="s">
        <v>63</v>
      </c>
      <c r="S262" s="1">
        <v>307.27999999999997</v>
      </c>
      <c r="T262" s="1">
        <v>377</v>
      </c>
      <c r="U262" s="1">
        <v>1.82</v>
      </c>
      <c r="V262" s="1">
        <v>9.4</v>
      </c>
      <c r="W262" s="1">
        <v>0.1</v>
      </c>
      <c r="X262" s="1">
        <f t="shared" si="44"/>
        <v>100</v>
      </c>
      <c r="Y262" s="1">
        <v>3.3000000000000002E-2</v>
      </c>
      <c r="Z262" s="1">
        <v>8.7999999999999995E-2</v>
      </c>
      <c r="AA262" s="1">
        <v>23.9130434782608</v>
      </c>
      <c r="AB262" s="1">
        <v>6.8</v>
      </c>
      <c r="AC262" s="1">
        <v>25</v>
      </c>
      <c r="AD262" s="1" t="s">
        <v>66</v>
      </c>
      <c r="AE262" s="1">
        <v>10</v>
      </c>
      <c r="AH262" s="1">
        <v>0.39999999999999902</v>
      </c>
      <c r="AJ262" s="1">
        <f t="shared" si="39"/>
        <v>0.60000000000000098</v>
      </c>
      <c r="AK262" s="1">
        <f t="shared" si="38"/>
        <v>-0.51082562376598906</v>
      </c>
      <c r="AM262">
        <v>33</v>
      </c>
      <c r="AN262">
        <f>IF(ISNUMBER(AJ262),IF(AJ262&gt;=0.05,1,0),"")</f>
        <v>1</v>
      </c>
      <c r="AO262">
        <f>IF(ISNUMBER(AJ262),IF(AJ262&lt;0.005,1,0),"")</f>
        <v>0</v>
      </c>
      <c r="AQ262" s="34"/>
      <c r="AR262" s="35"/>
      <c r="AS262" s="36"/>
    </row>
    <row r="263" spans="1:45" ht="42.75" x14ac:dyDescent="0.45">
      <c r="A263" s="1" t="s">
        <v>73</v>
      </c>
      <c r="B263" s="1" t="s">
        <v>69</v>
      </c>
      <c r="C263" s="1">
        <v>106</v>
      </c>
      <c r="D263" s="1">
        <v>250.28</v>
      </c>
      <c r="E263" s="1">
        <v>-0.1</v>
      </c>
      <c r="F263" s="1">
        <v>1.57</v>
      </c>
      <c r="G263" s="1">
        <v>1.93</v>
      </c>
      <c r="H263" s="1">
        <v>0.87</v>
      </c>
      <c r="I263" s="1">
        <v>0.86</v>
      </c>
      <c r="J263" s="1">
        <v>1.49</v>
      </c>
      <c r="K263" s="1" t="s">
        <v>67</v>
      </c>
      <c r="M263" s="1">
        <v>0.42</v>
      </c>
      <c r="N263" s="1">
        <v>1.1499999999999999</v>
      </c>
      <c r="P263" s="1">
        <v>7.2</v>
      </c>
      <c r="Q263" s="1">
        <v>35.5</v>
      </c>
      <c r="R263" s="1" t="s">
        <v>63</v>
      </c>
      <c r="S263" s="1">
        <v>307.27999999999997</v>
      </c>
      <c r="T263" s="1">
        <v>377</v>
      </c>
      <c r="U263" s="1">
        <v>1.82</v>
      </c>
      <c r="V263" s="1">
        <v>9.4</v>
      </c>
      <c r="W263" s="1">
        <v>0.1</v>
      </c>
      <c r="X263" s="1">
        <f t="shared" si="44"/>
        <v>100</v>
      </c>
      <c r="Y263" s="1">
        <v>3.3000000000000002E-2</v>
      </c>
      <c r="Z263" s="1">
        <v>8.7999999999999995E-2</v>
      </c>
      <c r="AA263" s="1">
        <v>0</v>
      </c>
      <c r="AB263" s="1">
        <v>6.8</v>
      </c>
      <c r="AC263" s="1">
        <v>35</v>
      </c>
      <c r="AD263" s="1" t="s">
        <v>66</v>
      </c>
      <c r="AE263" s="1">
        <v>10</v>
      </c>
      <c r="AH263" s="1">
        <v>0</v>
      </c>
      <c r="AI263" s="1">
        <f>-AK270/AA270</f>
        <v>2.9197450895867328E-2</v>
      </c>
      <c r="AJ263" s="1">
        <f t="shared" ref="AJ263" si="45">1-AH263</f>
        <v>1</v>
      </c>
      <c r="AK263" s="1">
        <f t="shared" si="38"/>
        <v>0</v>
      </c>
      <c r="AL263" s="1">
        <v>2.8253970927394002E-2</v>
      </c>
      <c r="AM263">
        <v>34</v>
      </c>
      <c r="AN263">
        <f>IF(ISNUMBER(AJ263),IF(AJ263&gt;=0.05,1,0),"")</f>
        <v>1</v>
      </c>
      <c r="AO263">
        <f>IF(ISNUMBER(AJ263),IF(AJ263&lt;0.005,1,0),"")</f>
        <v>0</v>
      </c>
      <c r="AP263">
        <f>IFERROR(MATCH(0,AN263:AN270,0)-1,8)</f>
        <v>8</v>
      </c>
      <c r="AQ263" s="34">
        <f>IF(AP263&lt;3,"n&lt;3",IFERROR(-SLOPE(AK263:INDEX(AK263:AK270,AP263),AA263:INDEX(AA263:AA270,AP263)),"no fit"))</f>
        <v>2.9169265511009207E-2</v>
      </c>
      <c r="AR263" s="35">
        <f>IF(AP263&lt;3,"",IFERROR(RSQ(AK263:INDEX(AK263:AK270,AP263),AA263:INDEX(AA263:AA270,AP263)),"flat"))</f>
        <v>0.93735442670208335</v>
      </c>
      <c r="AS263" s="36">
        <f>IFERROR(AQ263/AI263,"")</f>
        <v>0.9990346628218113</v>
      </c>
    </row>
    <row r="264" spans="1:45" ht="42.75" x14ac:dyDescent="0.45">
      <c r="A264" s="1" t="s">
        <v>73</v>
      </c>
      <c r="B264" s="1" t="s">
        <v>69</v>
      </c>
      <c r="C264" s="1">
        <v>106</v>
      </c>
      <c r="D264" s="1">
        <v>250.28</v>
      </c>
      <c r="E264" s="1">
        <v>-0.1</v>
      </c>
      <c r="F264" s="1">
        <v>1.57</v>
      </c>
      <c r="G264" s="1">
        <v>1.93</v>
      </c>
      <c r="H264" s="1">
        <v>0.87</v>
      </c>
      <c r="I264" s="1">
        <v>0.86</v>
      </c>
      <c r="J264" s="1">
        <v>1.49</v>
      </c>
      <c r="K264" s="1" t="s">
        <v>67</v>
      </c>
      <c r="M264" s="1">
        <v>0.42</v>
      </c>
      <c r="N264" s="1">
        <v>1.1499999999999999</v>
      </c>
      <c r="P264" s="1">
        <v>7.2</v>
      </c>
      <c r="Q264" s="1">
        <v>35.5</v>
      </c>
      <c r="R264" s="1" t="s">
        <v>63</v>
      </c>
      <c r="S264" s="1">
        <v>307.27999999999997</v>
      </c>
      <c r="T264" s="1">
        <v>377</v>
      </c>
      <c r="U264" s="1">
        <v>1.82</v>
      </c>
      <c r="V264" s="1">
        <v>9.4</v>
      </c>
      <c r="W264" s="1">
        <v>0.1</v>
      </c>
      <c r="X264" s="1">
        <f t="shared" si="44"/>
        <v>100</v>
      </c>
      <c r="Y264" s="1">
        <v>3.3000000000000002E-2</v>
      </c>
      <c r="Z264" s="1">
        <v>8.7999999999999995E-2</v>
      </c>
      <c r="AA264" s="1">
        <v>1.01449275362318</v>
      </c>
      <c r="AB264" s="1">
        <v>6.8</v>
      </c>
      <c r="AC264" s="1">
        <v>35</v>
      </c>
      <c r="AD264" s="1" t="s">
        <v>66</v>
      </c>
      <c r="AE264" s="1">
        <v>10</v>
      </c>
      <c r="AH264" s="1">
        <v>4.9999999999999045E-2</v>
      </c>
      <c r="AJ264" s="1">
        <f t="shared" si="39"/>
        <v>0.95000000000000095</v>
      </c>
      <c r="AK264" s="1">
        <f t="shared" si="38"/>
        <v>-5.129329438754953E-2</v>
      </c>
      <c r="AM264">
        <v>34</v>
      </c>
      <c r="AN264">
        <f>IF(ISNUMBER(AJ264),IF(AJ264&gt;=0.05,1,0),"")</f>
        <v>1</v>
      </c>
      <c r="AO264">
        <f>IF(ISNUMBER(AJ264),IF(AJ264&lt;0.005,1,0),"")</f>
        <v>0</v>
      </c>
      <c r="AQ264" s="34"/>
      <c r="AR264" s="35"/>
      <c r="AS264" s="36"/>
    </row>
    <row r="265" spans="1:45" ht="42.75" x14ac:dyDescent="0.45">
      <c r="A265" s="1" t="s">
        <v>73</v>
      </c>
      <c r="B265" s="1" t="s">
        <v>69</v>
      </c>
      <c r="C265" s="1">
        <v>106</v>
      </c>
      <c r="D265" s="1">
        <v>250.28</v>
      </c>
      <c r="E265" s="1">
        <v>-0.1</v>
      </c>
      <c r="F265" s="1">
        <v>1.57</v>
      </c>
      <c r="G265" s="1">
        <v>1.93</v>
      </c>
      <c r="H265" s="1">
        <v>0.87</v>
      </c>
      <c r="I265" s="1">
        <v>0.86</v>
      </c>
      <c r="J265" s="1">
        <v>1.49</v>
      </c>
      <c r="K265" s="1" t="s">
        <v>67</v>
      </c>
      <c r="M265" s="1">
        <v>0.42</v>
      </c>
      <c r="N265" s="1">
        <v>1.1499999999999999</v>
      </c>
      <c r="P265" s="1">
        <v>7.2</v>
      </c>
      <c r="Q265" s="1">
        <v>35.5</v>
      </c>
      <c r="R265" s="1" t="s">
        <v>63</v>
      </c>
      <c r="S265" s="1">
        <v>307.27999999999997</v>
      </c>
      <c r="T265" s="1">
        <v>377</v>
      </c>
      <c r="U265" s="1">
        <v>1.82</v>
      </c>
      <c r="V265" s="1">
        <v>9.4</v>
      </c>
      <c r="W265" s="1">
        <v>0.1</v>
      </c>
      <c r="X265" s="1">
        <f t="shared" si="44"/>
        <v>100</v>
      </c>
      <c r="Y265" s="1">
        <v>3.3000000000000002E-2</v>
      </c>
      <c r="Z265" s="1">
        <v>8.7999999999999995E-2</v>
      </c>
      <c r="AA265" s="1">
        <v>2.97101449275362</v>
      </c>
      <c r="AB265" s="1">
        <v>6.8</v>
      </c>
      <c r="AC265" s="1">
        <v>35</v>
      </c>
      <c r="AD265" s="1" t="s">
        <v>66</v>
      </c>
      <c r="AE265" s="1">
        <v>10</v>
      </c>
      <c r="AH265" s="1">
        <v>0.15714285714285603</v>
      </c>
      <c r="AJ265" s="1">
        <f t="shared" si="39"/>
        <v>0.84285714285714397</v>
      </c>
      <c r="AK265" s="1">
        <f t="shared" si="38"/>
        <v>-0.17095779814363821</v>
      </c>
      <c r="AM265">
        <v>34</v>
      </c>
      <c r="AN265">
        <f>IF(ISNUMBER(AJ265),IF(AJ265&gt;=0.05,1,0),"")</f>
        <v>1</v>
      </c>
      <c r="AO265">
        <f>IF(ISNUMBER(AJ265),IF(AJ265&lt;0.005,1,0),"")</f>
        <v>0</v>
      </c>
      <c r="AQ265" s="34"/>
      <c r="AR265" s="35"/>
      <c r="AS265" s="36"/>
    </row>
    <row r="266" spans="1:45" ht="42.75" x14ac:dyDescent="0.45">
      <c r="A266" s="1" t="s">
        <v>73</v>
      </c>
      <c r="B266" s="1" t="s">
        <v>69</v>
      </c>
      <c r="C266" s="1">
        <v>106</v>
      </c>
      <c r="D266" s="1">
        <v>250.28</v>
      </c>
      <c r="E266" s="1">
        <v>-0.1</v>
      </c>
      <c r="F266" s="1">
        <v>1.57</v>
      </c>
      <c r="G266" s="1">
        <v>1.93</v>
      </c>
      <c r="H266" s="1">
        <v>0.87</v>
      </c>
      <c r="I266" s="1">
        <v>0.86</v>
      </c>
      <c r="J266" s="1">
        <v>1.49</v>
      </c>
      <c r="K266" s="1" t="s">
        <v>67</v>
      </c>
      <c r="M266" s="1">
        <v>0.42</v>
      </c>
      <c r="N266" s="1">
        <v>1.1499999999999999</v>
      </c>
      <c r="P266" s="1">
        <v>7.2</v>
      </c>
      <c r="Q266" s="1">
        <v>35.5</v>
      </c>
      <c r="R266" s="1" t="s">
        <v>63</v>
      </c>
      <c r="S266" s="1">
        <v>307.27999999999997</v>
      </c>
      <c r="T266" s="1">
        <v>377</v>
      </c>
      <c r="U266" s="1">
        <v>1.82</v>
      </c>
      <c r="V266" s="1">
        <v>9.4</v>
      </c>
      <c r="W266" s="1">
        <v>0.1</v>
      </c>
      <c r="X266" s="1">
        <f t="shared" si="44"/>
        <v>100</v>
      </c>
      <c r="Y266" s="1">
        <v>3.3000000000000002E-2</v>
      </c>
      <c r="Z266" s="1">
        <v>8.7999999999999995E-2</v>
      </c>
      <c r="AA266" s="1">
        <v>4.9275362318840497</v>
      </c>
      <c r="AB266" s="1">
        <v>6.8</v>
      </c>
      <c r="AC266" s="1">
        <v>35</v>
      </c>
      <c r="AD266" s="1" t="s">
        <v>66</v>
      </c>
      <c r="AE266" s="1">
        <v>10</v>
      </c>
      <c r="AH266" s="1">
        <v>0.24285714285714199</v>
      </c>
      <c r="AJ266" s="1">
        <f t="shared" si="39"/>
        <v>0.75714285714285801</v>
      </c>
      <c r="AK266" s="1">
        <f t="shared" si="38"/>
        <v>-0.278203328497236</v>
      </c>
      <c r="AM266">
        <v>34</v>
      </c>
      <c r="AN266">
        <f>IF(ISNUMBER(AJ266),IF(AJ266&gt;=0.05,1,0),"")</f>
        <v>1</v>
      </c>
      <c r="AO266">
        <f>IF(ISNUMBER(AJ266),IF(AJ266&lt;0.005,1,0),"")</f>
        <v>0</v>
      </c>
      <c r="AQ266" s="34"/>
      <c r="AR266" s="35"/>
      <c r="AS266" s="36"/>
    </row>
    <row r="267" spans="1:45" ht="42.75" x14ac:dyDescent="0.45">
      <c r="A267" s="1" t="s">
        <v>73</v>
      </c>
      <c r="B267" s="1" t="s">
        <v>69</v>
      </c>
      <c r="C267" s="1">
        <v>106</v>
      </c>
      <c r="D267" s="1">
        <v>250.28</v>
      </c>
      <c r="E267" s="1">
        <v>-0.1</v>
      </c>
      <c r="F267" s="1">
        <v>1.57</v>
      </c>
      <c r="G267" s="1">
        <v>1.93</v>
      </c>
      <c r="H267" s="1">
        <v>0.87</v>
      </c>
      <c r="I267" s="1">
        <v>0.86</v>
      </c>
      <c r="J267" s="1">
        <v>1.49</v>
      </c>
      <c r="K267" s="1" t="s">
        <v>67</v>
      </c>
      <c r="M267" s="1">
        <v>0.42</v>
      </c>
      <c r="N267" s="1">
        <v>1.1499999999999999</v>
      </c>
      <c r="P267" s="1">
        <v>7.2</v>
      </c>
      <c r="Q267" s="1">
        <v>35.5</v>
      </c>
      <c r="R267" s="1" t="s">
        <v>63</v>
      </c>
      <c r="S267" s="1">
        <v>307.27999999999997</v>
      </c>
      <c r="T267" s="1">
        <v>377</v>
      </c>
      <c r="U267" s="1">
        <v>1.82</v>
      </c>
      <c r="V267" s="1">
        <v>9.4</v>
      </c>
      <c r="W267" s="1">
        <v>0.1</v>
      </c>
      <c r="X267" s="1">
        <f t="shared" si="44"/>
        <v>100</v>
      </c>
      <c r="Y267" s="1">
        <v>3.3000000000000002E-2</v>
      </c>
      <c r="Z267" s="1">
        <v>8.7999999999999995E-2</v>
      </c>
      <c r="AA267" s="1">
        <v>8.0434782608695592</v>
      </c>
      <c r="AB267" s="1">
        <v>6.8</v>
      </c>
      <c r="AC267" s="1">
        <v>35</v>
      </c>
      <c r="AD267" s="1" t="s">
        <v>66</v>
      </c>
      <c r="AE267" s="1">
        <v>10</v>
      </c>
      <c r="AH267" s="1">
        <v>0.32142857142857095</v>
      </c>
      <c r="AJ267" s="1">
        <f t="shared" si="39"/>
        <v>0.67857142857142905</v>
      </c>
      <c r="AK267" s="1">
        <f t="shared" si="38"/>
        <v>-0.38776553100876276</v>
      </c>
      <c r="AM267">
        <v>34</v>
      </c>
      <c r="AN267">
        <f>IF(ISNUMBER(AJ267),IF(AJ267&gt;=0.05,1,0),"")</f>
        <v>1</v>
      </c>
      <c r="AO267">
        <f>IF(ISNUMBER(AJ267),IF(AJ267&lt;0.005,1,0),"")</f>
        <v>0</v>
      </c>
      <c r="AQ267" s="34"/>
      <c r="AR267" s="35"/>
      <c r="AS267" s="36"/>
    </row>
    <row r="268" spans="1:45" ht="42.75" x14ac:dyDescent="0.45">
      <c r="A268" s="1" t="s">
        <v>73</v>
      </c>
      <c r="B268" s="1" t="s">
        <v>69</v>
      </c>
      <c r="C268" s="1">
        <v>106</v>
      </c>
      <c r="D268" s="1">
        <v>250.28</v>
      </c>
      <c r="E268" s="1">
        <v>-0.1</v>
      </c>
      <c r="F268" s="1">
        <v>1.57</v>
      </c>
      <c r="G268" s="1">
        <v>1.93</v>
      </c>
      <c r="H268" s="1">
        <v>0.87</v>
      </c>
      <c r="I268" s="1">
        <v>0.86</v>
      </c>
      <c r="J268" s="1">
        <v>1.49</v>
      </c>
      <c r="K268" s="1" t="s">
        <v>67</v>
      </c>
      <c r="M268" s="1">
        <v>0.42</v>
      </c>
      <c r="N268" s="1">
        <v>1.1499999999999999</v>
      </c>
      <c r="P268" s="1">
        <v>7.2</v>
      </c>
      <c r="Q268" s="1">
        <v>35.5</v>
      </c>
      <c r="R268" s="1" t="s">
        <v>63</v>
      </c>
      <c r="S268" s="1">
        <v>307.27999999999997</v>
      </c>
      <c r="T268" s="1">
        <v>377</v>
      </c>
      <c r="U268" s="1">
        <v>1.82</v>
      </c>
      <c r="V268" s="1">
        <v>9.4</v>
      </c>
      <c r="W268" s="1">
        <v>0.1</v>
      </c>
      <c r="X268" s="1">
        <f t="shared" si="44"/>
        <v>100</v>
      </c>
      <c r="Y268" s="1">
        <v>3.3000000000000002E-2</v>
      </c>
      <c r="Z268" s="1">
        <v>8.7999999999999995E-2</v>
      </c>
      <c r="AA268" s="1">
        <v>11.8840579710144</v>
      </c>
      <c r="AB268" s="1">
        <v>6.8</v>
      </c>
      <c r="AC268" s="1">
        <v>35</v>
      </c>
      <c r="AD268" s="1" t="s">
        <v>66</v>
      </c>
      <c r="AE268" s="1">
        <v>10</v>
      </c>
      <c r="AH268" s="1">
        <v>0.375</v>
      </c>
      <c r="AJ268" s="1">
        <f t="shared" si="39"/>
        <v>0.625</v>
      </c>
      <c r="AK268" s="1">
        <f t="shared" si="38"/>
        <v>-0.47000362924573558</v>
      </c>
      <c r="AM268">
        <v>34</v>
      </c>
      <c r="AN268">
        <f>IF(ISNUMBER(AJ268),IF(AJ268&gt;=0.05,1,0),"")</f>
        <v>1</v>
      </c>
      <c r="AO268">
        <f>IF(ISNUMBER(AJ268),IF(AJ268&lt;0.005,1,0),"")</f>
        <v>0</v>
      </c>
      <c r="AQ268" s="34"/>
      <c r="AR268" s="35"/>
      <c r="AS268" s="36"/>
    </row>
    <row r="269" spans="1:45" ht="42.75" x14ac:dyDescent="0.45">
      <c r="A269" s="1" t="s">
        <v>73</v>
      </c>
      <c r="B269" s="1" t="s">
        <v>69</v>
      </c>
      <c r="C269" s="1">
        <v>106</v>
      </c>
      <c r="D269" s="1">
        <v>250.28</v>
      </c>
      <c r="E269" s="1">
        <v>-0.1</v>
      </c>
      <c r="F269" s="1">
        <v>1.57</v>
      </c>
      <c r="G269" s="1">
        <v>1.93</v>
      </c>
      <c r="H269" s="1">
        <v>0.87</v>
      </c>
      <c r="I269" s="1">
        <v>0.86</v>
      </c>
      <c r="J269" s="1">
        <v>1.49</v>
      </c>
      <c r="K269" s="1" t="s">
        <v>67</v>
      </c>
      <c r="M269" s="1">
        <v>0.42</v>
      </c>
      <c r="N269" s="1">
        <v>1.1499999999999999</v>
      </c>
      <c r="P269" s="1">
        <v>7.2</v>
      </c>
      <c r="Q269" s="1">
        <v>35.5</v>
      </c>
      <c r="R269" s="1" t="s">
        <v>63</v>
      </c>
      <c r="S269" s="1">
        <v>307.27999999999997</v>
      </c>
      <c r="T269" s="1">
        <v>377</v>
      </c>
      <c r="U269" s="1">
        <v>1.82</v>
      </c>
      <c r="V269" s="1">
        <v>9.4</v>
      </c>
      <c r="W269" s="1">
        <v>0.1</v>
      </c>
      <c r="X269" s="1">
        <f t="shared" si="44"/>
        <v>100</v>
      </c>
      <c r="Y269" s="1">
        <v>3.3000000000000002E-2</v>
      </c>
      <c r="Z269" s="1">
        <v>8.7999999999999995E-2</v>
      </c>
      <c r="AA269" s="1">
        <v>15.869565217391299</v>
      </c>
      <c r="AB269" s="1">
        <v>6.8</v>
      </c>
      <c r="AC269" s="1">
        <v>35</v>
      </c>
      <c r="AD269" s="1" t="s">
        <v>66</v>
      </c>
      <c r="AE269" s="1">
        <v>10</v>
      </c>
      <c r="AH269" s="1">
        <v>0.43571428571428505</v>
      </c>
      <c r="AJ269" s="1">
        <f t="shared" si="39"/>
        <v>0.56428571428571495</v>
      </c>
      <c r="AK269" s="1">
        <f t="shared" si="38"/>
        <v>-0.57219457014228159</v>
      </c>
      <c r="AM269">
        <v>34</v>
      </c>
      <c r="AN269">
        <f>IF(ISNUMBER(AJ269),IF(AJ269&gt;=0.05,1,0),"")</f>
        <v>1</v>
      </c>
      <c r="AO269">
        <f>IF(ISNUMBER(AJ269),IF(AJ269&lt;0.005,1,0),"")</f>
        <v>0</v>
      </c>
      <c r="AQ269" s="34"/>
      <c r="AR269" s="35"/>
      <c r="AS269" s="36"/>
    </row>
    <row r="270" spans="1:45" ht="42.75" x14ac:dyDescent="0.45">
      <c r="A270" s="1" t="s">
        <v>73</v>
      </c>
      <c r="B270" s="1" t="s">
        <v>69</v>
      </c>
      <c r="C270" s="1">
        <v>106</v>
      </c>
      <c r="D270" s="1">
        <v>250.28</v>
      </c>
      <c r="E270" s="1">
        <v>-0.1</v>
      </c>
      <c r="F270" s="1">
        <v>1.57</v>
      </c>
      <c r="G270" s="1">
        <v>1.93</v>
      </c>
      <c r="H270" s="1">
        <v>0.87</v>
      </c>
      <c r="I270" s="1">
        <v>0.86</v>
      </c>
      <c r="J270" s="1">
        <v>1.49</v>
      </c>
      <c r="K270" s="1" t="s">
        <v>67</v>
      </c>
      <c r="M270" s="1">
        <v>0.42</v>
      </c>
      <c r="N270" s="1">
        <v>1.1499999999999999</v>
      </c>
      <c r="P270" s="1">
        <v>7.2</v>
      </c>
      <c r="Q270" s="1">
        <v>35.5</v>
      </c>
      <c r="R270" s="1" t="s">
        <v>63</v>
      </c>
      <c r="S270" s="1">
        <v>307.27999999999997</v>
      </c>
      <c r="T270" s="1">
        <v>377</v>
      </c>
      <c r="U270" s="1">
        <v>1.82</v>
      </c>
      <c r="V270" s="1">
        <v>9.4</v>
      </c>
      <c r="W270" s="1">
        <v>0.1</v>
      </c>
      <c r="X270" s="1">
        <f t="shared" si="44"/>
        <v>100</v>
      </c>
      <c r="Y270" s="1">
        <v>3.3000000000000002E-2</v>
      </c>
      <c r="Z270" s="1">
        <v>8.7999999999999995E-2</v>
      </c>
      <c r="AA270" s="1">
        <v>23.985507246376802</v>
      </c>
      <c r="AB270" s="1">
        <v>6.8</v>
      </c>
      <c r="AC270" s="1">
        <v>35</v>
      </c>
      <c r="AD270" s="1" t="s">
        <v>66</v>
      </c>
      <c r="AE270" s="1">
        <v>10</v>
      </c>
      <c r="AH270" s="1">
        <v>0.503571428571428</v>
      </c>
      <c r="AJ270" s="1">
        <f t="shared" si="39"/>
        <v>0.496428571428572</v>
      </c>
      <c r="AK270" s="1">
        <f t="shared" si="38"/>
        <v>-0.70031567003855666</v>
      </c>
      <c r="AM270">
        <v>34</v>
      </c>
      <c r="AN270">
        <f>IF(ISNUMBER(AJ270),IF(AJ270&gt;=0.05,1,0),"")</f>
        <v>1</v>
      </c>
      <c r="AO270">
        <f>IF(ISNUMBER(AJ270),IF(AJ270&lt;0.005,1,0),"")</f>
        <v>0</v>
      </c>
      <c r="AQ270" s="34"/>
      <c r="AR270" s="35"/>
      <c r="AS270" s="36"/>
    </row>
    <row r="271" spans="1:45" ht="42.75" x14ac:dyDescent="0.45">
      <c r="A271" s="1" t="s">
        <v>73</v>
      </c>
      <c r="B271" s="1" t="s">
        <v>69</v>
      </c>
      <c r="C271" s="1">
        <v>106</v>
      </c>
      <c r="D271" s="1">
        <v>250.28</v>
      </c>
      <c r="E271" s="1">
        <v>-0.1</v>
      </c>
      <c r="F271" s="1">
        <v>1.57</v>
      </c>
      <c r="G271" s="1">
        <v>1.93</v>
      </c>
      <c r="H271" s="1">
        <v>0.87</v>
      </c>
      <c r="I271" s="1">
        <v>0.86</v>
      </c>
      <c r="J271" s="1">
        <v>1.49</v>
      </c>
      <c r="K271" s="1" t="s">
        <v>67</v>
      </c>
      <c r="M271" s="1">
        <v>0.42</v>
      </c>
      <c r="N271" s="1">
        <v>1.1499999999999999</v>
      </c>
      <c r="P271" s="1">
        <v>7.2</v>
      </c>
      <c r="Q271" s="1">
        <v>35.5</v>
      </c>
      <c r="R271" s="1" t="s">
        <v>63</v>
      </c>
      <c r="S271" s="1">
        <v>307.27999999999997</v>
      </c>
      <c r="T271" s="1">
        <v>377</v>
      </c>
      <c r="U271" s="1">
        <v>1.82</v>
      </c>
      <c r="V271" s="1">
        <v>9.4</v>
      </c>
      <c r="W271" s="1">
        <v>0.1</v>
      </c>
      <c r="X271" s="1">
        <f t="shared" si="44"/>
        <v>100</v>
      </c>
      <c r="Y271" s="1">
        <v>3.3000000000000002E-2</v>
      </c>
      <c r="Z271" s="1">
        <v>8.7999999999999995E-2</v>
      </c>
      <c r="AA271" s="1">
        <v>0</v>
      </c>
      <c r="AB271" s="1">
        <v>6.8</v>
      </c>
      <c r="AC271" s="1">
        <v>45</v>
      </c>
      <c r="AD271" s="1" t="s">
        <v>66</v>
      </c>
      <c r="AE271" s="1">
        <v>10</v>
      </c>
      <c r="AH271" s="1">
        <v>0</v>
      </c>
      <c r="AI271" s="1">
        <f>-AK278/AA278</f>
        <v>3.8692665895834803E-2</v>
      </c>
      <c r="AJ271" s="1">
        <f t="shared" ref="AJ271" si="46">1-AH271</f>
        <v>1</v>
      </c>
      <c r="AK271" s="1">
        <f t="shared" si="38"/>
        <v>0</v>
      </c>
      <c r="AL271" s="1">
        <v>3.5919379776341201E-2</v>
      </c>
      <c r="AM271">
        <v>35</v>
      </c>
      <c r="AN271">
        <f>IF(ISNUMBER(AJ271),IF(AJ271&gt;=0.05,1,0),"")</f>
        <v>1</v>
      </c>
      <c r="AO271">
        <f>IF(ISNUMBER(AJ271),IF(AJ271&lt;0.005,1,0),"")</f>
        <v>0</v>
      </c>
      <c r="AP271">
        <f>IFERROR(MATCH(0,AN271:AN278,0)-1,8)</f>
        <v>8</v>
      </c>
      <c r="AQ271" s="34">
        <f>IF(AP271&lt;3,"n&lt;3",IFERROR(-SLOPE(AK271:INDEX(AK271:AK278,AP271),AA271:INDEX(AA271:AA278,AP271)),"no fit"))</f>
        <v>3.823770019146891E-2</v>
      </c>
      <c r="AR271" s="35">
        <f>IF(AP271&lt;3,"",IFERROR(RSQ(AK271:INDEX(AK271:AK278,AP271),AA271:INDEX(AA271:AA278,AP271)),"flat"))</f>
        <v>0.92924235647376052</v>
      </c>
      <c r="AS271" s="36">
        <f>IFERROR(AQ271/AI271,"")</f>
        <v>0.98824155188503382</v>
      </c>
    </row>
    <row r="272" spans="1:45" ht="42.75" x14ac:dyDescent="0.45">
      <c r="A272" s="1" t="s">
        <v>73</v>
      </c>
      <c r="B272" s="1" t="s">
        <v>69</v>
      </c>
      <c r="C272" s="1">
        <v>106</v>
      </c>
      <c r="D272" s="1">
        <v>250.28</v>
      </c>
      <c r="E272" s="1">
        <v>-0.1</v>
      </c>
      <c r="F272" s="1">
        <v>1.57</v>
      </c>
      <c r="G272" s="1">
        <v>1.93</v>
      </c>
      <c r="H272" s="1">
        <v>0.87</v>
      </c>
      <c r="I272" s="1">
        <v>0.86</v>
      </c>
      <c r="J272" s="1">
        <v>1.49</v>
      </c>
      <c r="K272" s="1" t="s">
        <v>67</v>
      </c>
      <c r="M272" s="1">
        <v>0.42</v>
      </c>
      <c r="N272" s="1">
        <v>1.1499999999999999</v>
      </c>
      <c r="P272" s="1">
        <v>7.2</v>
      </c>
      <c r="Q272" s="1">
        <v>35.5</v>
      </c>
      <c r="R272" s="1" t="s">
        <v>63</v>
      </c>
      <c r="S272" s="1">
        <v>307.27999999999997</v>
      </c>
      <c r="T272" s="1">
        <v>377</v>
      </c>
      <c r="U272" s="1">
        <v>1.82</v>
      </c>
      <c r="V272" s="1">
        <v>9.4</v>
      </c>
      <c r="W272" s="1">
        <v>0.1</v>
      </c>
      <c r="X272" s="1">
        <f t="shared" si="44"/>
        <v>100</v>
      </c>
      <c r="Y272" s="1">
        <v>3.3000000000000002E-2</v>
      </c>
      <c r="Z272" s="1">
        <v>8.7999999999999995E-2</v>
      </c>
      <c r="AA272" s="1">
        <v>1.0869565217391199</v>
      </c>
      <c r="AB272" s="1">
        <v>6.8</v>
      </c>
      <c r="AC272" s="1">
        <v>45</v>
      </c>
      <c r="AD272" s="1" t="s">
        <v>66</v>
      </c>
      <c r="AE272" s="1">
        <v>10</v>
      </c>
      <c r="AH272" s="1">
        <v>9.9999999999999978E-2</v>
      </c>
      <c r="AJ272" s="1">
        <f t="shared" si="39"/>
        <v>0.9</v>
      </c>
      <c r="AK272" s="1">
        <f t="shared" si="38"/>
        <v>-0.10536051565782628</v>
      </c>
      <c r="AM272">
        <v>35</v>
      </c>
      <c r="AN272">
        <f>IF(ISNUMBER(AJ272),IF(AJ272&gt;=0.05,1,0),"")</f>
        <v>1</v>
      </c>
      <c r="AO272">
        <f>IF(ISNUMBER(AJ272),IF(AJ272&lt;0.005,1,0),"")</f>
        <v>0</v>
      </c>
      <c r="AQ272" s="34"/>
      <c r="AR272" s="35"/>
      <c r="AS272" s="36"/>
    </row>
    <row r="273" spans="1:45" ht="42.75" x14ac:dyDescent="0.45">
      <c r="A273" s="1" t="s">
        <v>73</v>
      </c>
      <c r="B273" s="1" t="s">
        <v>69</v>
      </c>
      <c r="C273" s="1">
        <v>106</v>
      </c>
      <c r="D273" s="1">
        <v>250.28</v>
      </c>
      <c r="E273" s="1">
        <v>-0.1</v>
      </c>
      <c r="F273" s="1">
        <v>1.57</v>
      </c>
      <c r="G273" s="1">
        <v>1.93</v>
      </c>
      <c r="H273" s="1">
        <v>0.87</v>
      </c>
      <c r="I273" s="1">
        <v>0.86</v>
      </c>
      <c r="J273" s="1">
        <v>1.49</v>
      </c>
      <c r="K273" s="1" t="s">
        <v>67</v>
      </c>
      <c r="M273" s="1">
        <v>0.42</v>
      </c>
      <c r="N273" s="1">
        <v>1.1499999999999999</v>
      </c>
      <c r="P273" s="1">
        <v>7.2</v>
      </c>
      <c r="Q273" s="1">
        <v>35.5</v>
      </c>
      <c r="R273" s="1" t="s">
        <v>63</v>
      </c>
      <c r="S273" s="1">
        <v>307.27999999999997</v>
      </c>
      <c r="T273" s="1">
        <v>377</v>
      </c>
      <c r="U273" s="1">
        <v>1.82</v>
      </c>
      <c r="V273" s="1">
        <v>9.4</v>
      </c>
      <c r="W273" s="1">
        <v>0.1</v>
      </c>
      <c r="X273" s="1">
        <f t="shared" si="44"/>
        <v>100</v>
      </c>
      <c r="Y273" s="1">
        <v>3.3000000000000002E-2</v>
      </c>
      <c r="Z273" s="1">
        <v>8.7999999999999995E-2</v>
      </c>
      <c r="AA273" s="1">
        <v>3.1159420289855002</v>
      </c>
      <c r="AB273" s="1">
        <v>6.8</v>
      </c>
      <c r="AC273" s="1">
        <v>45</v>
      </c>
      <c r="AD273" s="1" t="s">
        <v>66</v>
      </c>
      <c r="AE273" s="1">
        <v>10</v>
      </c>
      <c r="AH273" s="1">
        <v>0.20357142857142796</v>
      </c>
      <c r="AJ273" s="1">
        <f t="shared" si="39"/>
        <v>0.79642857142857204</v>
      </c>
      <c r="AK273" s="1">
        <f t="shared" si="38"/>
        <v>-0.22761783170913008</v>
      </c>
      <c r="AM273">
        <v>35</v>
      </c>
      <c r="AN273">
        <f>IF(ISNUMBER(AJ273),IF(AJ273&gt;=0.05,1,0),"")</f>
        <v>1</v>
      </c>
      <c r="AO273">
        <f>IF(ISNUMBER(AJ273),IF(AJ273&lt;0.005,1,0),"")</f>
        <v>0</v>
      </c>
      <c r="AQ273" s="34"/>
      <c r="AR273" s="35"/>
      <c r="AS273" s="36"/>
    </row>
    <row r="274" spans="1:45" ht="42.75" x14ac:dyDescent="0.45">
      <c r="A274" s="1" t="s">
        <v>73</v>
      </c>
      <c r="B274" s="1" t="s">
        <v>69</v>
      </c>
      <c r="C274" s="1">
        <v>106</v>
      </c>
      <c r="D274" s="1">
        <v>250.28</v>
      </c>
      <c r="E274" s="1">
        <v>-0.1</v>
      </c>
      <c r="F274" s="1">
        <v>1.57</v>
      </c>
      <c r="G274" s="1">
        <v>1.93</v>
      </c>
      <c r="H274" s="1">
        <v>0.87</v>
      </c>
      <c r="I274" s="1">
        <v>0.86</v>
      </c>
      <c r="J274" s="1">
        <v>1.49</v>
      </c>
      <c r="K274" s="1" t="s">
        <v>67</v>
      </c>
      <c r="M274" s="1">
        <v>0.42</v>
      </c>
      <c r="N274" s="1">
        <v>1.1499999999999999</v>
      </c>
      <c r="P274" s="1">
        <v>7.2</v>
      </c>
      <c r="Q274" s="1">
        <v>35.5</v>
      </c>
      <c r="R274" s="1" t="s">
        <v>63</v>
      </c>
      <c r="S274" s="1">
        <v>307.27999999999997</v>
      </c>
      <c r="T274" s="1">
        <v>377</v>
      </c>
      <c r="U274" s="1">
        <v>1.82</v>
      </c>
      <c r="V274" s="1">
        <v>9.4</v>
      </c>
      <c r="W274" s="1">
        <v>0.1</v>
      </c>
      <c r="X274" s="1">
        <f t="shared" si="44"/>
        <v>100</v>
      </c>
      <c r="Y274" s="1">
        <v>3.3000000000000002E-2</v>
      </c>
      <c r="Z274" s="1">
        <v>8.7999999999999995E-2</v>
      </c>
      <c r="AA274" s="1">
        <v>5.0724637681159397</v>
      </c>
      <c r="AB274" s="1">
        <v>6.8</v>
      </c>
      <c r="AC274" s="1">
        <v>45</v>
      </c>
      <c r="AD274" s="1" t="s">
        <v>66</v>
      </c>
      <c r="AE274" s="1">
        <v>10</v>
      </c>
      <c r="AH274" s="1">
        <v>0.30000000000000004</v>
      </c>
      <c r="AJ274" s="1">
        <f t="shared" si="39"/>
        <v>0.7</v>
      </c>
      <c r="AK274" s="1">
        <f t="shared" si="38"/>
        <v>-0.35667494393873245</v>
      </c>
      <c r="AM274">
        <v>35</v>
      </c>
      <c r="AN274">
        <f>IF(ISNUMBER(AJ274),IF(AJ274&gt;=0.05,1,0),"")</f>
        <v>1</v>
      </c>
      <c r="AO274">
        <f>IF(ISNUMBER(AJ274),IF(AJ274&lt;0.005,1,0),"")</f>
        <v>0</v>
      </c>
      <c r="AQ274" s="34"/>
      <c r="AR274" s="35"/>
      <c r="AS274" s="36"/>
    </row>
    <row r="275" spans="1:45" ht="42.75" x14ac:dyDescent="0.45">
      <c r="A275" s="1" t="s">
        <v>73</v>
      </c>
      <c r="B275" s="1" t="s">
        <v>69</v>
      </c>
      <c r="C275" s="1">
        <v>106</v>
      </c>
      <c r="D275" s="1">
        <v>250.28</v>
      </c>
      <c r="E275" s="1">
        <v>-0.1</v>
      </c>
      <c r="F275" s="1">
        <v>1.57</v>
      </c>
      <c r="G275" s="1">
        <v>1.93</v>
      </c>
      <c r="H275" s="1">
        <v>0.87</v>
      </c>
      <c r="I275" s="1">
        <v>0.86</v>
      </c>
      <c r="J275" s="1">
        <v>1.49</v>
      </c>
      <c r="K275" s="1" t="s">
        <v>67</v>
      </c>
      <c r="M275" s="1">
        <v>0.42</v>
      </c>
      <c r="N275" s="1">
        <v>1.1499999999999999</v>
      </c>
      <c r="P275" s="1">
        <v>7.2</v>
      </c>
      <c r="Q275" s="1">
        <v>35.5</v>
      </c>
      <c r="R275" s="1" t="s">
        <v>63</v>
      </c>
      <c r="S275" s="1">
        <v>307.27999999999997</v>
      </c>
      <c r="T275" s="1">
        <v>377</v>
      </c>
      <c r="U275" s="1">
        <v>1.82</v>
      </c>
      <c r="V275" s="1">
        <v>9.4</v>
      </c>
      <c r="W275" s="1">
        <v>0.1</v>
      </c>
      <c r="X275" s="1">
        <f t="shared" si="44"/>
        <v>100</v>
      </c>
      <c r="Y275" s="1">
        <v>3.3000000000000002E-2</v>
      </c>
      <c r="Z275" s="1">
        <v>8.7999999999999995E-2</v>
      </c>
      <c r="AA275" s="1">
        <v>7.8260869565217304</v>
      </c>
      <c r="AB275" s="1">
        <v>6.8</v>
      </c>
      <c r="AC275" s="1">
        <v>45</v>
      </c>
      <c r="AD275" s="1" t="s">
        <v>66</v>
      </c>
      <c r="AE275" s="1">
        <v>10</v>
      </c>
      <c r="AH275" s="1">
        <v>0.42500000000000004</v>
      </c>
      <c r="AJ275" s="1">
        <f t="shared" si="39"/>
        <v>0.57499999999999996</v>
      </c>
      <c r="AK275" s="1">
        <f t="shared" si="38"/>
        <v>-0.55338523818478669</v>
      </c>
      <c r="AM275">
        <v>35</v>
      </c>
      <c r="AN275">
        <f>IF(ISNUMBER(AJ275),IF(AJ275&gt;=0.05,1,0),"")</f>
        <v>1</v>
      </c>
      <c r="AO275">
        <f>IF(ISNUMBER(AJ275),IF(AJ275&lt;0.005,1,0),"")</f>
        <v>0</v>
      </c>
      <c r="AQ275" s="34"/>
      <c r="AR275" s="35"/>
      <c r="AS275" s="36"/>
    </row>
    <row r="276" spans="1:45" ht="42.75" x14ac:dyDescent="0.45">
      <c r="A276" s="1" t="s">
        <v>73</v>
      </c>
      <c r="B276" s="1" t="s">
        <v>69</v>
      </c>
      <c r="C276" s="1">
        <v>106</v>
      </c>
      <c r="D276" s="1">
        <v>250.28</v>
      </c>
      <c r="E276" s="1">
        <v>-0.1</v>
      </c>
      <c r="F276" s="1">
        <v>1.57</v>
      </c>
      <c r="G276" s="1">
        <v>1.93</v>
      </c>
      <c r="H276" s="1">
        <v>0.87</v>
      </c>
      <c r="I276" s="1">
        <v>0.86</v>
      </c>
      <c r="J276" s="1">
        <v>1.49</v>
      </c>
      <c r="K276" s="1" t="s">
        <v>67</v>
      </c>
      <c r="M276" s="1">
        <v>0.42</v>
      </c>
      <c r="N276" s="1">
        <v>1.1499999999999999</v>
      </c>
      <c r="P276" s="1">
        <v>7.2</v>
      </c>
      <c r="Q276" s="1">
        <v>35.5</v>
      </c>
      <c r="R276" s="1" t="s">
        <v>63</v>
      </c>
      <c r="S276" s="1">
        <v>307.27999999999997</v>
      </c>
      <c r="T276" s="1">
        <v>377</v>
      </c>
      <c r="U276" s="1">
        <v>1.82</v>
      </c>
      <c r="V276" s="1">
        <v>9.4</v>
      </c>
      <c r="W276" s="1">
        <v>0.1</v>
      </c>
      <c r="X276" s="1">
        <f t="shared" si="44"/>
        <v>100</v>
      </c>
      <c r="Y276" s="1">
        <v>3.3000000000000002E-2</v>
      </c>
      <c r="Z276" s="1">
        <v>8.7999999999999995E-2</v>
      </c>
      <c r="AA276" s="1">
        <v>12.173913043478199</v>
      </c>
      <c r="AB276" s="1">
        <v>6.8</v>
      </c>
      <c r="AC276" s="1">
        <v>45</v>
      </c>
      <c r="AD276" s="1" t="s">
        <v>66</v>
      </c>
      <c r="AE276" s="1">
        <v>10</v>
      </c>
      <c r="AH276" s="1">
        <v>0.47142857142857097</v>
      </c>
      <c r="AJ276" s="1">
        <f t="shared" si="39"/>
        <v>0.52857142857142903</v>
      </c>
      <c r="AK276" s="1">
        <f t="shared" si="38"/>
        <v>-0.63757732940513367</v>
      </c>
      <c r="AM276">
        <v>35</v>
      </c>
      <c r="AN276">
        <f>IF(ISNUMBER(AJ276),IF(AJ276&gt;=0.05,1,0),"")</f>
        <v>1</v>
      </c>
      <c r="AO276">
        <f>IF(ISNUMBER(AJ276),IF(AJ276&lt;0.005,1,0),"")</f>
        <v>0</v>
      </c>
      <c r="AQ276" s="34"/>
      <c r="AR276" s="35"/>
      <c r="AS276" s="36"/>
    </row>
    <row r="277" spans="1:45" ht="42.75" x14ac:dyDescent="0.45">
      <c r="A277" s="1" t="s">
        <v>73</v>
      </c>
      <c r="B277" s="1" t="s">
        <v>69</v>
      </c>
      <c r="C277" s="1">
        <v>106</v>
      </c>
      <c r="D277" s="1">
        <v>250.28</v>
      </c>
      <c r="E277" s="1">
        <v>-0.1</v>
      </c>
      <c r="F277" s="1">
        <v>1.57</v>
      </c>
      <c r="G277" s="1">
        <v>1.93</v>
      </c>
      <c r="H277" s="1">
        <v>0.87</v>
      </c>
      <c r="I277" s="1">
        <v>0.86</v>
      </c>
      <c r="J277" s="1">
        <v>1.49</v>
      </c>
      <c r="K277" s="1" t="s">
        <v>67</v>
      </c>
      <c r="M277" s="1">
        <v>0.42</v>
      </c>
      <c r="N277" s="1">
        <v>1.1499999999999999</v>
      </c>
      <c r="P277" s="1">
        <v>7.2</v>
      </c>
      <c r="Q277" s="1">
        <v>35.5</v>
      </c>
      <c r="R277" s="1" t="s">
        <v>63</v>
      </c>
      <c r="S277" s="1">
        <v>307.27999999999997</v>
      </c>
      <c r="T277" s="1">
        <v>377</v>
      </c>
      <c r="U277" s="1">
        <v>1.82</v>
      </c>
      <c r="V277" s="1">
        <v>9.4</v>
      </c>
      <c r="W277" s="1">
        <v>0.1</v>
      </c>
      <c r="X277" s="1">
        <f t="shared" si="44"/>
        <v>100</v>
      </c>
      <c r="Y277" s="1">
        <v>3.3000000000000002E-2</v>
      </c>
      <c r="Z277" s="1">
        <v>8.7999999999999995E-2</v>
      </c>
      <c r="AA277" s="1">
        <v>15.9420289855072</v>
      </c>
      <c r="AB277" s="1">
        <v>6.8</v>
      </c>
      <c r="AC277" s="1">
        <v>45</v>
      </c>
      <c r="AD277" s="1" t="s">
        <v>66</v>
      </c>
      <c r="AE277" s="1">
        <v>10</v>
      </c>
      <c r="AH277" s="1">
        <v>0.53214285714285703</v>
      </c>
      <c r="AJ277" s="1">
        <f t="shared" si="39"/>
        <v>0.46785714285714297</v>
      </c>
      <c r="AK277" s="1">
        <f t="shared" si="38"/>
        <v>-0.75959227996809786</v>
      </c>
      <c r="AM277">
        <v>35</v>
      </c>
      <c r="AN277">
        <f>IF(ISNUMBER(AJ277),IF(AJ277&gt;=0.05,1,0),"")</f>
        <v>1</v>
      </c>
      <c r="AO277">
        <f>IF(ISNUMBER(AJ277),IF(AJ277&lt;0.005,1,0),"")</f>
        <v>0</v>
      </c>
      <c r="AQ277" s="34"/>
      <c r="AR277" s="35"/>
      <c r="AS277" s="36"/>
    </row>
    <row r="278" spans="1:45" ht="42.75" x14ac:dyDescent="0.45">
      <c r="A278" s="1" t="s">
        <v>73</v>
      </c>
      <c r="B278" s="1" t="s">
        <v>69</v>
      </c>
      <c r="C278" s="1">
        <v>106</v>
      </c>
      <c r="D278" s="1">
        <v>250.28</v>
      </c>
      <c r="E278" s="1">
        <v>-0.1</v>
      </c>
      <c r="F278" s="1">
        <v>1.57</v>
      </c>
      <c r="G278" s="1">
        <v>1.93</v>
      </c>
      <c r="H278" s="1">
        <v>0.87</v>
      </c>
      <c r="I278" s="1">
        <v>0.86</v>
      </c>
      <c r="J278" s="1">
        <v>1.49</v>
      </c>
      <c r="K278" s="1" t="s">
        <v>67</v>
      </c>
      <c r="M278" s="1">
        <v>0.42</v>
      </c>
      <c r="N278" s="1">
        <v>1.1499999999999999</v>
      </c>
      <c r="P278" s="1">
        <v>7.2</v>
      </c>
      <c r="Q278" s="1">
        <v>35.5</v>
      </c>
      <c r="R278" s="1" t="s">
        <v>63</v>
      </c>
      <c r="S278" s="1">
        <v>307.27999999999997</v>
      </c>
      <c r="T278" s="1">
        <v>377</v>
      </c>
      <c r="U278" s="1">
        <v>1.82</v>
      </c>
      <c r="V278" s="1">
        <v>9.4</v>
      </c>
      <c r="W278" s="1">
        <v>0.1</v>
      </c>
      <c r="X278" s="1">
        <f t="shared" si="44"/>
        <v>100</v>
      </c>
      <c r="Y278" s="1">
        <v>3.3000000000000002E-2</v>
      </c>
      <c r="Z278" s="1">
        <v>8.7999999999999995E-2</v>
      </c>
      <c r="AA278" s="1">
        <v>23.9130434782608</v>
      </c>
      <c r="AB278" s="1">
        <v>6.8</v>
      </c>
      <c r="AC278" s="1">
        <v>45</v>
      </c>
      <c r="AD278" s="1" t="s">
        <v>66</v>
      </c>
      <c r="AE278" s="1">
        <v>10</v>
      </c>
      <c r="AH278" s="1">
        <v>0.60357142857142898</v>
      </c>
      <c r="AJ278" s="1">
        <f t="shared" si="39"/>
        <v>0.39642857142857102</v>
      </c>
      <c r="AK278" s="1">
        <f t="shared" si="38"/>
        <v>-0.92525940185691646</v>
      </c>
      <c r="AM278">
        <v>35</v>
      </c>
      <c r="AN278">
        <f>IF(ISNUMBER(AJ278),IF(AJ278&gt;=0.05,1,0),"")</f>
        <v>1</v>
      </c>
      <c r="AO278">
        <f>IF(ISNUMBER(AJ278),IF(AJ278&lt;0.005,1,0),"")</f>
        <v>0</v>
      </c>
      <c r="AQ278" s="34"/>
      <c r="AR278" s="35"/>
      <c r="AS278" s="36"/>
    </row>
    <row r="279" spans="1:45" ht="42.75" x14ac:dyDescent="0.45">
      <c r="A279" s="1" t="s">
        <v>73</v>
      </c>
      <c r="B279" s="1" t="s">
        <v>69</v>
      </c>
      <c r="C279" s="1">
        <v>106</v>
      </c>
      <c r="D279" s="1">
        <v>250.28</v>
      </c>
      <c r="E279" s="1">
        <v>-0.1</v>
      </c>
      <c r="F279" s="1">
        <v>1.57</v>
      </c>
      <c r="G279" s="1">
        <v>1.93</v>
      </c>
      <c r="H279" s="1">
        <v>0.87</v>
      </c>
      <c r="I279" s="1">
        <v>0.86</v>
      </c>
      <c r="J279" s="1">
        <v>1.49</v>
      </c>
      <c r="K279" s="1" t="s">
        <v>67</v>
      </c>
      <c r="M279" s="1">
        <v>0.42</v>
      </c>
      <c r="N279" s="1">
        <v>1.1499999999999999</v>
      </c>
      <c r="P279" s="1">
        <v>7.2</v>
      </c>
      <c r="Q279" s="1">
        <v>35.5</v>
      </c>
      <c r="R279" s="1" t="s">
        <v>63</v>
      </c>
      <c r="S279" s="1">
        <v>307.27999999999997</v>
      </c>
      <c r="T279" s="1">
        <v>377</v>
      </c>
      <c r="U279" s="1">
        <v>1.82</v>
      </c>
      <c r="V279" s="1">
        <v>9.4</v>
      </c>
      <c r="W279" s="1">
        <v>0.1</v>
      </c>
      <c r="X279" s="1">
        <f t="shared" si="44"/>
        <v>100</v>
      </c>
      <c r="Y279" s="1">
        <v>3.3000000000000002E-2</v>
      </c>
      <c r="Z279" s="1">
        <v>8.7999999999999995E-2</v>
      </c>
      <c r="AA279" s="1">
        <v>0</v>
      </c>
      <c r="AB279" s="1">
        <v>6.8</v>
      </c>
      <c r="AC279" s="1">
        <v>55</v>
      </c>
      <c r="AD279" s="1" t="s">
        <v>66</v>
      </c>
      <c r="AE279" s="1">
        <v>10</v>
      </c>
      <c r="AH279" s="1">
        <v>0</v>
      </c>
      <c r="AI279" s="1">
        <f>-AK286/AA286</f>
        <v>5.2072677606132836E-2</v>
      </c>
      <c r="AJ279" s="1">
        <f t="shared" ref="AJ279" si="47">1-AH279</f>
        <v>1</v>
      </c>
      <c r="AK279" s="1">
        <f t="shared" si="38"/>
        <v>0</v>
      </c>
      <c r="AL279" s="1">
        <v>4.87236458896457E-2</v>
      </c>
      <c r="AM279">
        <v>36</v>
      </c>
      <c r="AN279">
        <f>IF(ISNUMBER(AJ279),IF(AJ279&gt;=0.05,1,0),"")</f>
        <v>1</v>
      </c>
      <c r="AO279">
        <f>IF(ISNUMBER(AJ279),IF(AJ279&lt;0.005,1,0),"")</f>
        <v>0</v>
      </c>
      <c r="AP279">
        <f>IFERROR(MATCH(0,AN279:AN286,0)-1,8)</f>
        <v>8</v>
      </c>
      <c r="AQ279" s="34">
        <f>IF(AP279&lt;3,"n&lt;3",IFERROR(-SLOPE(AK279:INDEX(AK279:AK286,AP279),AA279:INDEX(AA279:AA286,AP279)),"no fit"))</f>
        <v>5.1659464833012356E-2</v>
      </c>
      <c r="AR279" s="35">
        <f>IF(AP279&lt;3,"",IFERROR(RSQ(AK279:INDEX(AK279:AK286,AP279),AA279:INDEX(AA279:AA286,AP279)),"flat"))</f>
        <v>0.92621533531430922</v>
      </c>
      <c r="AS279" s="36">
        <f>IFERROR(AQ279/AI279,"")</f>
        <v>0.9920646912715736</v>
      </c>
    </row>
    <row r="280" spans="1:45" ht="42.75" x14ac:dyDescent="0.45">
      <c r="A280" s="1" t="s">
        <v>73</v>
      </c>
      <c r="B280" s="1" t="s">
        <v>69</v>
      </c>
      <c r="C280" s="1">
        <v>106</v>
      </c>
      <c r="D280" s="1">
        <v>250.28</v>
      </c>
      <c r="E280" s="1">
        <v>-0.1</v>
      </c>
      <c r="F280" s="1">
        <v>1.57</v>
      </c>
      <c r="G280" s="1">
        <v>1.93</v>
      </c>
      <c r="H280" s="1">
        <v>0.87</v>
      </c>
      <c r="I280" s="1">
        <v>0.86</v>
      </c>
      <c r="J280" s="1">
        <v>1.49</v>
      </c>
      <c r="K280" s="1" t="s">
        <v>67</v>
      </c>
      <c r="M280" s="1">
        <v>0.42</v>
      </c>
      <c r="N280" s="1">
        <v>1.1499999999999999</v>
      </c>
      <c r="P280" s="1">
        <v>7.2</v>
      </c>
      <c r="Q280" s="1">
        <v>35.5</v>
      </c>
      <c r="R280" s="1" t="s">
        <v>63</v>
      </c>
      <c r="S280" s="1">
        <v>307.27999999999997</v>
      </c>
      <c r="T280" s="1">
        <v>377</v>
      </c>
      <c r="U280" s="1">
        <v>1.82</v>
      </c>
      <c r="V280" s="1">
        <v>9.4</v>
      </c>
      <c r="W280" s="1">
        <v>0.1</v>
      </c>
      <c r="X280" s="1">
        <f t="shared" si="44"/>
        <v>100</v>
      </c>
      <c r="Y280" s="1">
        <v>3.3000000000000002E-2</v>
      </c>
      <c r="Z280" s="1">
        <v>8.7999999999999995E-2</v>
      </c>
      <c r="AA280" s="1">
        <v>1.0869565217391199</v>
      </c>
      <c r="AB280" s="1">
        <v>6.8</v>
      </c>
      <c r="AC280" s="1">
        <v>55</v>
      </c>
      <c r="AD280" s="1" t="s">
        <v>66</v>
      </c>
      <c r="AE280" s="1">
        <v>10</v>
      </c>
      <c r="AH280" s="1">
        <v>0.124999999999999</v>
      </c>
      <c r="AJ280" s="1">
        <f t="shared" si="39"/>
        <v>0.875000000000001</v>
      </c>
      <c r="AK280" s="1">
        <f t="shared" si="38"/>
        <v>-0.13353139262452149</v>
      </c>
      <c r="AM280">
        <v>36</v>
      </c>
      <c r="AN280">
        <f>IF(ISNUMBER(AJ280),IF(AJ280&gt;=0.05,1,0),"")</f>
        <v>1</v>
      </c>
      <c r="AO280">
        <f>IF(ISNUMBER(AJ280),IF(AJ280&lt;0.005,1,0),"")</f>
        <v>0</v>
      </c>
      <c r="AQ280" s="34"/>
      <c r="AR280" s="35"/>
      <c r="AS280" s="36"/>
    </row>
    <row r="281" spans="1:45" ht="42.75" x14ac:dyDescent="0.45">
      <c r="A281" s="1" t="s">
        <v>73</v>
      </c>
      <c r="B281" s="1" t="s">
        <v>69</v>
      </c>
      <c r="C281" s="1">
        <v>106</v>
      </c>
      <c r="D281" s="1">
        <v>250.28</v>
      </c>
      <c r="E281" s="1">
        <v>-0.1</v>
      </c>
      <c r="F281" s="1">
        <v>1.57</v>
      </c>
      <c r="G281" s="1">
        <v>1.93</v>
      </c>
      <c r="H281" s="1">
        <v>0.87</v>
      </c>
      <c r="I281" s="1">
        <v>0.86</v>
      </c>
      <c r="J281" s="1">
        <v>1.49</v>
      </c>
      <c r="K281" s="1" t="s">
        <v>67</v>
      </c>
      <c r="M281" s="1">
        <v>0.42</v>
      </c>
      <c r="N281" s="1">
        <v>1.1499999999999999</v>
      </c>
      <c r="P281" s="1">
        <v>7.2</v>
      </c>
      <c r="Q281" s="1">
        <v>35.5</v>
      </c>
      <c r="R281" s="1" t="s">
        <v>63</v>
      </c>
      <c r="S281" s="1">
        <v>307.27999999999997</v>
      </c>
      <c r="T281" s="1">
        <v>377</v>
      </c>
      <c r="U281" s="1">
        <v>1.82</v>
      </c>
      <c r="V281" s="1">
        <v>9.4</v>
      </c>
      <c r="W281" s="1">
        <v>0.1</v>
      </c>
      <c r="X281" s="1">
        <f t="shared" si="44"/>
        <v>100</v>
      </c>
      <c r="Y281" s="1">
        <v>3.3000000000000002E-2</v>
      </c>
      <c r="Z281" s="1">
        <v>8.7999999999999995E-2</v>
      </c>
      <c r="AA281" s="1">
        <v>3.2608695652173898</v>
      </c>
      <c r="AB281" s="1">
        <v>6.8</v>
      </c>
      <c r="AC281" s="1">
        <v>55</v>
      </c>
      <c r="AD281" s="1" t="s">
        <v>66</v>
      </c>
      <c r="AE281" s="1">
        <v>10</v>
      </c>
      <c r="AH281" s="1">
        <v>0.24285714285714199</v>
      </c>
      <c r="AJ281" s="1">
        <f t="shared" si="39"/>
        <v>0.75714285714285801</v>
      </c>
      <c r="AK281" s="1">
        <f t="shared" si="38"/>
        <v>-0.278203328497236</v>
      </c>
      <c r="AM281">
        <v>36</v>
      </c>
      <c r="AN281">
        <f>IF(ISNUMBER(AJ281),IF(AJ281&gt;=0.05,1,0),"")</f>
        <v>1</v>
      </c>
      <c r="AO281">
        <f>IF(ISNUMBER(AJ281),IF(AJ281&lt;0.005,1,0),"")</f>
        <v>0</v>
      </c>
      <c r="AQ281" s="34"/>
      <c r="AR281" s="35"/>
      <c r="AS281" s="36"/>
    </row>
    <row r="282" spans="1:45" ht="42.75" x14ac:dyDescent="0.45">
      <c r="A282" s="1" t="s">
        <v>73</v>
      </c>
      <c r="B282" s="1" t="s">
        <v>69</v>
      </c>
      <c r="C282" s="1">
        <v>106</v>
      </c>
      <c r="D282" s="1">
        <v>250.28</v>
      </c>
      <c r="E282" s="1">
        <v>-0.1</v>
      </c>
      <c r="F282" s="1">
        <v>1.57</v>
      </c>
      <c r="G282" s="1">
        <v>1.93</v>
      </c>
      <c r="H282" s="1">
        <v>0.87</v>
      </c>
      <c r="I282" s="1">
        <v>0.86</v>
      </c>
      <c r="J282" s="1">
        <v>1.49</v>
      </c>
      <c r="K282" s="1" t="s">
        <v>67</v>
      </c>
      <c r="M282" s="1">
        <v>0.42</v>
      </c>
      <c r="N282" s="1">
        <v>1.1499999999999999</v>
      </c>
      <c r="P282" s="1">
        <v>7.2</v>
      </c>
      <c r="Q282" s="1">
        <v>35.5</v>
      </c>
      <c r="R282" s="1" t="s">
        <v>63</v>
      </c>
      <c r="S282" s="1">
        <v>307.27999999999997</v>
      </c>
      <c r="T282" s="1">
        <v>377</v>
      </c>
      <c r="U282" s="1">
        <v>1.82</v>
      </c>
      <c r="V282" s="1">
        <v>9.4</v>
      </c>
      <c r="W282" s="1">
        <v>0.1</v>
      </c>
      <c r="X282" s="1">
        <f t="shared" si="44"/>
        <v>100</v>
      </c>
      <c r="Y282" s="1">
        <v>3.3000000000000002E-2</v>
      </c>
      <c r="Z282" s="1">
        <v>8.7999999999999995E-2</v>
      </c>
      <c r="AA282" s="1">
        <v>5</v>
      </c>
      <c r="AB282" s="1">
        <v>6.8</v>
      </c>
      <c r="AC282" s="1">
        <v>55</v>
      </c>
      <c r="AD282" s="1" t="s">
        <v>66</v>
      </c>
      <c r="AE282" s="1">
        <v>10</v>
      </c>
      <c r="AH282" s="1">
        <v>0.40357142857142803</v>
      </c>
      <c r="AJ282" s="1">
        <f t="shared" si="39"/>
        <v>0.59642857142857197</v>
      </c>
      <c r="AK282" s="1">
        <f t="shared" si="38"/>
        <v>-0.5167957907524936</v>
      </c>
      <c r="AM282">
        <v>36</v>
      </c>
      <c r="AN282">
        <f>IF(ISNUMBER(AJ282),IF(AJ282&gt;=0.05,1,0),"")</f>
        <v>1</v>
      </c>
      <c r="AO282">
        <f>IF(ISNUMBER(AJ282),IF(AJ282&lt;0.005,1,0),"")</f>
        <v>0</v>
      </c>
      <c r="AQ282" s="34"/>
      <c r="AR282" s="35"/>
      <c r="AS282" s="36"/>
    </row>
    <row r="283" spans="1:45" ht="42.75" x14ac:dyDescent="0.45">
      <c r="A283" s="1" t="s">
        <v>73</v>
      </c>
      <c r="B283" s="1" t="s">
        <v>69</v>
      </c>
      <c r="C283" s="1">
        <v>106</v>
      </c>
      <c r="D283" s="1">
        <v>250.28</v>
      </c>
      <c r="E283" s="1">
        <v>-0.1</v>
      </c>
      <c r="F283" s="1">
        <v>1.57</v>
      </c>
      <c r="G283" s="1">
        <v>1.93</v>
      </c>
      <c r="H283" s="1">
        <v>0.87</v>
      </c>
      <c r="I283" s="1">
        <v>0.86</v>
      </c>
      <c r="J283" s="1">
        <v>1.49</v>
      </c>
      <c r="K283" s="1" t="s">
        <v>67</v>
      </c>
      <c r="M283" s="1">
        <v>0.42</v>
      </c>
      <c r="N283" s="1">
        <v>1.1499999999999999</v>
      </c>
      <c r="P283" s="1">
        <v>7.2</v>
      </c>
      <c r="Q283" s="1">
        <v>35.5</v>
      </c>
      <c r="R283" s="1" t="s">
        <v>63</v>
      </c>
      <c r="S283" s="1">
        <v>307.27999999999997</v>
      </c>
      <c r="T283" s="1">
        <v>377</v>
      </c>
      <c r="U283" s="1">
        <v>1.82</v>
      </c>
      <c r="V283" s="1">
        <v>9.4</v>
      </c>
      <c r="W283" s="1">
        <v>0.1</v>
      </c>
      <c r="X283" s="1">
        <f t="shared" si="44"/>
        <v>100</v>
      </c>
      <c r="Y283" s="1">
        <v>3.3000000000000002E-2</v>
      </c>
      <c r="Z283" s="1">
        <v>8.7999999999999995E-2</v>
      </c>
      <c r="AA283" s="1">
        <v>7.9710144927536204</v>
      </c>
      <c r="AB283" s="1">
        <v>6.8</v>
      </c>
      <c r="AC283" s="1">
        <v>55</v>
      </c>
      <c r="AD283" s="1" t="s">
        <v>66</v>
      </c>
      <c r="AE283" s="1">
        <v>10</v>
      </c>
      <c r="AH283" s="1">
        <v>0.51785714285714202</v>
      </c>
      <c r="AJ283" s="1">
        <f t="shared" si="39"/>
        <v>0.48214285714285798</v>
      </c>
      <c r="AK283" s="1">
        <f t="shared" si="38"/>
        <v>-0.72951482473081841</v>
      </c>
      <c r="AM283">
        <v>36</v>
      </c>
      <c r="AN283">
        <f>IF(ISNUMBER(AJ283),IF(AJ283&gt;=0.05,1,0),"")</f>
        <v>1</v>
      </c>
      <c r="AO283">
        <f>IF(ISNUMBER(AJ283),IF(AJ283&lt;0.005,1,0),"")</f>
        <v>0</v>
      </c>
      <c r="AQ283" s="34"/>
      <c r="AR283" s="35"/>
      <c r="AS283" s="36"/>
    </row>
    <row r="284" spans="1:45" ht="42.75" x14ac:dyDescent="0.45">
      <c r="A284" s="1" t="s">
        <v>73</v>
      </c>
      <c r="B284" s="1" t="s">
        <v>69</v>
      </c>
      <c r="C284" s="1">
        <v>106</v>
      </c>
      <c r="D284" s="1">
        <v>250.28</v>
      </c>
      <c r="E284" s="1">
        <v>-0.1</v>
      </c>
      <c r="F284" s="1">
        <v>1.57</v>
      </c>
      <c r="G284" s="1">
        <v>1.93</v>
      </c>
      <c r="H284" s="1">
        <v>0.87</v>
      </c>
      <c r="I284" s="1">
        <v>0.86</v>
      </c>
      <c r="J284" s="1">
        <v>1.49</v>
      </c>
      <c r="K284" s="1" t="s">
        <v>67</v>
      </c>
      <c r="M284" s="1">
        <v>0.42</v>
      </c>
      <c r="N284" s="1">
        <v>1.1499999999999999</v>
      </c>
      <c r="P284" s="1">
        <v>7.2</v>
      </c>
      <c r="Q284" s="1">
        <v>35.5</v>
      </c>
      <c r="R284" s="1" t="s">
        <v>63</v>
      </c>
      <c r="S284" s="1">
        <v>307.27999999999997</v>
      </c>
      <c r="T284" s="1">
        <v>377</v>
      </c>
      <c r="U284" s="1">
        <v>1.82</v>
      </c>
      <c r="V284" s="1">
        <v>9.4</v>
      </c>
      <c r="W284" s="1">
        <v>0.1</v>
      </c>
      <c r="X284" s="1">
        <f t="shared" si="44"/>
        <v>100</v>
      </c>
      <c r="Y284" s="1">
        <v>3.3000000000000002E-2</v>
      </c>
      <c r="Z284" s="1">
        <v>8.7999999999999995E-2</v>
      </c>
      <c r="AA284" s="1">
        <v>12.173913043478199</v>
      </c>
      <c r="AB284" s="1">
        <v>6.8</v>
      </c>
      <c r="AC284" s="1">
        <v>55</v>
      </c>
      <c r="AD284" s="1" t="s">
        <v>66</v>
      </c>
      <c r="AE284" s="1">
        <v>10</v>
      </c>
      <c r="AH284" s="1">
        <v>0.58928571428571397</v>
      </c>
      <c r="AJ284" s="1">
        <f t="shared" si="39"/>
        <v>0.41071428571428603</v>
      </c>
      <c r="AK284" s="1">
        <f t="shared" si="38"/>
        <v>-0.88985747480599875</v>
      </c>
      <c r="AM284">
        <v>36</v>
      </c>
      <c r="AN284">
        <f>IF(ISNUMBER(AJ284),IF(AJ284&gt;=0.05,1,0),"")</f>
        <v>1</v>
      </c>
      <c r="AO284">
        <f>IF(ISNUMBER(AJ284),IF(AJ284&lt;0.005,1,0),"")</f>
        <v>0</v>
      </c>
      <c r="AQ284" s="34"/>
      <c r="AR284" s="35"/>
      <c r="AS284" s="36"/>
    </row>
    <row r="285" spans="1:45" ht="42.75" x14ac:dyDescent="0.45">
      <c r="A285" s="1" t="s">
        <v>73</v>
      </c>
      <c r="B285" s="1" t="s">
        <v>69</v>
      </c>
      <c r="C285" s="1">
        <v>106</v>
      </c>
      <c r="D285" s="1">
        <v>250.28</v>
      </c>
      <c r="E285" s="1">
        <v>-0.1</v>
      </c>
      <c r="F285" s="1">
        <v>1.57</v>
      </c>
      <c r="G285" s="1">
        <v>1.93</v>
      </c>
      <c r="H285" s="1">
        <v>0.87</v>
      </c>
      <c r="I285" s="1">
        <v>0.86</v>
      </c>
      <c r="J285" s="1">
        <v>1.49</v>
      </c>
      <c r="K285" s="1" t="s">
        <v>67</v>
      </c>
      <c r="M285" s="1">
        <v>0.42</v>
      </c>
      <c r="N285" s="1">
        <v>1.1499999999999999</v>
      </c>
      <c r="P285" s="1">
        <v>7.2</v>
      </c>
      <c r="Q285" s="1">
        <v>35.5</v>
      </c>
      <c r="R285" s="1" t="s">
        <v>63</v>
      </c>
      <c r="S285" s="1">
        <v>307.27999999999997</v>
      </c>
      <c r="T285" s="1">
        <v>377</v>
      </c>
      <c r="U285" s="1">
        <v>1.82</v>
      </c>
      <c r="V285" s="1">
        <v>9.4</v>
      </c>
      <c r="W285" s="1">
        <v>0.1</v>
      </c>
      <c r="X285" s="1">
        <f t="shared" si="44"/>
        <v>100</v>
      </c>
      <c r="Y285" s="1">
        <v>3.3000000000000002E-2</v>
      </c>
      <c r="Z285" s="1">
        <v>8.7999999999999995E-2</v>
      </c>
      <c r="AA285" s="1">
        <v>16.086956521739101</v>
      </c>
      <c r="AB285" s="1">
        <v>6.8</v>
      </c>
      <c r="AC285" s="1">
        <v>55</v>
      </c>
      <c r="AD285" s="1" t="s">
        <v>66</v>
      </c>
      <c r="AE285" s="1">
        <v>10</v>
      </c>
      <c r="AH285" s="1">
        <v>0.63571428571428501</v>
      </c>
      <c r="AJ285" s="1">
        <f t="shared" si="39"/>
        <v>0.36428571428571499</v>
      </c>
      <c r="AK285" s="1">
        <f t="shared" si="38"/>
        <v>-1.0098167898849766</v>
      </c>
      <c r="AM285">
        <v>36</v>
      </c>
      <c r="AN285">
        <f>IF(ISNUMBER(AJ285),IF(AJ285&gt;=0.05,1,0),"")</f>
        <v>1</v>
      </c>
      <c r="AO285">
        <f>IF(ISNUMBER(AJ285),IF(AJ285&lt;0.005,1,0),"")</f>
        <v>0</v>
      </c>
      <c r="AQ285" s="34"/>
      <c r="AR285" s="35"/>
      <c r="AS285" s="36"/>
    </row>
    <row r="286" spans="1:45" ht="42.75" x14ac:dyDescent="0.45">
      <c r="A286" s="1" t="s">
        <v>73</v>
      </c>
      <c r="B286" s="1" t="s">
        <v>69</v>
      </c>
      <c r="C286" s="1">
        <v>106</v>
      </c>
      <c r="D286" s="1">
        <v>250.28</v>
      </c>
      <c r="E286" s="1">
        <v>-0.1</v>
      </c>
      <c r="F286" s="1">
        <v>1.57</v>
      </c>
      <c r="G286" s="1">
        <v>1.93</v>
      </c>
      <c r="H286" s="1">
        <v>0.87</v>
      </c>
      <c r="I286" s="1">
        <v>0.86</v>
      </c>
      <c r="J286" s="1">
        <v>1.49</v>
      </c>
      <c r="K286" s="1" t="s">
        <v>67</v>
      </c>
      <c r="M286" s="1">
        <v>0.42</v>
      </c>
      <c r="N286" s="1">
        <v>1.1499999999999999</v>
      </c>
      <c r="P286" s="1">
        <v>7.2</v>
      </c>
      <c r="Q286" s="1">
        <v>35.5</v>
      </c>
      <c r="R286" s="1" t="s">
        <v>63</v>
      </c>
      <c r="S286" s="1">
        <v>307.27999999999997</v>
      </c>
      <c r="T286" s="1">
        <v>377</v>
      </c>
      <c r="U286" s="1">
        <v>1.82</v>
      </c>
      <c r="V286" s="1">
        <v>9.4</v>
      </c>
      <c r="W286" s="1">
        <v>0.1</v>
      </c>
      <c r="X286" s="1">
        <f t="shared" si="44"/>
        <v>100</v>
      </c>
      <c r="Y286" s="1">
        <v>3.3000000000000002E-2</v>
      </c>
      <c r="Z286" s="1">
        <v>8.7999999999999995E-2</v>
      </c>
      <c r="AA286" s="1">
        <v>24.057971014492701</v>
      </c>
      <c r="AB286" s="1">
        <v>6.8</v>
      </c>
      <c r="AC286" s="1">
        <v>55</v>
      </c>
      <c r="AD286" s="1" t="s">
        <v>66</v>
      </c>
      <c r="AE286" s="1">
        <v>10</v>
      </c>
      <c r="AH286" s="1">
        <v>0.71428571428571397</v>
      </c>
      <c r="AJ286" s="1">
        <f t="shared" si="39"/>
        <v>0.28571428571428603</v>
      </c>
      <c r="AK286" s="1">
        <f t="shared" si="38"/>
        <v>-1.2527629684953669</v>
      </c>
      <c r="AM286">
        <v>36</v>
      </c>
      <c r="AN286">
        <f>IF(ISNUMBER(AJ286),IF(AJ286&gt;=0.05,1,0),"")</f>
        <v>1</v>
      </c>
      <c r="AO286">
        <f>IF(ISNUMBER(AJ286),IF(AJ286&lt;0.005,1,0),"")</f>
        <v>0</v>
      </c>
      <c r="AQ286" s="34"/>
      <c r="AR286" s="35"/>
      <c r="AS286" s="36"/>
    </row>
    <row r="287" spans="1:45" ht="42.75" x14ac:dyDescent="0.45">
      <c r="A287" s="1" t="s">
        <v>73</v>
      </c>
      <c r="B287" s="1" t="s">
        <v>69</v>
      </c>
      <c r="C287" s="1">
        <v>106</v>
      </c>
      <c r="D287" s="1">
        <v>250.28</v>
      </c>
      <c r="E287" s="1">
        <v>-0.1</v>
      </c>
      <c r="F287" s="1">
        <v>1.57</v>
      </c>
      <c r="G287" s="1">
        <v>1.93</v>
      </c>
      <c r="H287" s="1">
        <v>0.87</v>
      </c>
      <c r="I287" s="1">
        <v>0.86</v>
      </c>
      <c r="J287" s="1">
        <v>1.49</v>
      </c>
      <c r="K287" s="1" t="s">
        <v>67</v>
      </c>
      <c r="M287" s="1">
        <v>0.42</v>
      </c>
      <c r="N287" s="1">
        <v>1.1499999999999999</v>
      </c>
      <c r="P287" s="1">
        <v>7.2</v>
      </c>
      <c r="Q287" s="1">
        <v>35.5</v>
      </c>
      <c r="R287" s="1" t="s">
        <v>63</v>
      </c>
      <c r="S287" s="1">
        <v>307.27999999999997</v>
      </c>
      <c r="T287" s="1">
        <v>377</v>
      </c>
      <c r="U287" s="1">
        <v>1.82</v>
      </c>
      <c r="V287" s="1">
        <v>9.4</v>
      </c>
      <c r="W287" s="1">
        <v>0.1</v>
      </c>
      <c r="X287" s="1">
        <f t="shared" si="44"/>
        <v>100</v>
      </c>
      <c r="Y287" s="1">
        <v>3.3000000000000002E-2</v>
      </c>
      <c r="Z287" s="1">
        <v>8.7999999999999995E-2</v>
      </c>
      <c r="AA287" s="1">
        <v>0</v>
      </c>
      <c r="AB287" s="1">
        <v>6.8</v>
      </c>
      <c r="AC287" s="1">
        <v>65</v>
      </c>
      <c r="AD287" s="1" t="s">
        <v>66</v>
      </c>
      <c r="AE287" s="1">
        <v>10</v>
      </c>
      <c r="AH287" s="1">
        <v>0</v>
      </c>
      <c r="AI287" s="1">
        <f>-AK294/AA294</f>
        <v>8.763952193985762E-2</v>
      </c>
      <c r="AJ287" s="1">
        <f t="shared" ref="AJ287" si="48">1-AH287</f>
        <v>1</v>
      </c>
      <c r="AK287" s="1">
        <f t="shared" si="38"/>
        <v>0</v>
      </c>
      <c r="AL287" s="1">
        <v>8.2266278582706895E-2</v>
      </c>
      <c r="AM287">
        <v>37</v>
      </c>
      <c r="AN287">
        <f>IF(ISNUMBER(AJ287),IF(AJ287&gt;=0.05,1,0),"")</f>
        <v>1</v>
      </c>
      <c r="AO287">
        <f>IF(ISNUMBER(AJ287),IF(AJ287&lt;0.005,1,0),"")</f>
        <v>0</v>
      </c>
      <c r="AP287">
        <f>IFERROR(MATCH(0,AN287:AN294,0)-1,8)</f>
        <v>8</v>
      </c>
      <c r="AQ287" s="34">
        <f>IF(AP287&lt;3,"n&lt;3",IFERROR(-SLOPE(AK287:INDEX(AK287:AK294,AP287),AA287:INDEX(AA287:AA294,AP287)),"no fit"))</f>
        <v>8.6281210035697539E-2</v>
      </c>
      <c r="AR287" s="35">
        <f>IF(AP287&lt;3,"",IFERROR(RSQ(AK287:INDEX(AK287:AK294,AP287),AA287:INDEX(AA287:AA294,AP287)),"flat"))</f>
        <v>0.93243140143903713</v>
      </c>
      <c r="AS287" s="36">
        <f>IFERROR(AQ287/AI287,"")</f>
        <v>0.98450114886418227</v>
      </c>
    </row>
    <row r="288" spans="1:45" ht="42.75" x14ac:dyDescent="0.45">
      <c r="A288" s="1" t="s">
        <v>73</v>
      </c>
      <c r="B288" s="1" t="s">
        <v>69</v>
      </c>
      <c r="C288" s="1">
        <v>106</v>
      </c>
      <c r="D288" s="1">
        <v>250.28</v>
      </c>
      <c r="E288" s="1">
        <v>-0.1</v>
      </c>
      <c r="F288" s="1">
        <v>1.57</v>
      </c>
      <c r="G288" s="1">
        <v>1.93</v>
      </c>
      <c r="H288" s="1">
        <v>0.87</v>
      </c>
      <c r="I288" s="1">
        <v>0.86</v>
      </c>
      <c r="J288" s="1">
        <v>1.49</v>
      </c>
      <c r="K288" s="1" t="s">
        <v>67</v>
      </c>
      <c r="M288" s="1">
        <v>0.42</v>
      </c>
      <c r="N288" s="1">
        <v>1.1499999999999999</v>
      </c>
      <c r="P288" s="1">
        <v>7.2</v>
      </c>
      <c r="Q288" s="1">
        <v>35.5</v>
      </c>
      <c r="R288" s="1" t="s">
        <v>63</v>
      </c>
      <c r="S288" s="1">
        <v>307.27999999999997</v>
      </c>
      <c r="T288" s="1">
        <v>377</v>
      </c>
      <c r="U288" s="1">
        <v>1.82</v>
      </c>
      <c r="V288" s="1">
        <v>9.4</v>
      </c>
      <c r="W288" s="1">
        <v>0.1</v>
      </c>
      <c r="X288" s="1">
        <f t="shared" si="44"/>
        <v>100</v>
      </c>
      <c r="Y288" s="1">
        <v>3.3000000000000002E-2</v>
      </c>
      <c r="Z288" s="1">
        <v>8.7999999999999995E-2</v>
      </c>
      <c r="AA288" s="1">
        <v>1.0869565217391199</v>
      </c>
      <c r="AB288" s="1">
        <v>6.8</v>
      </c>
      <c r="AC288" s="1">
        <v>65</v>
      </c>
      <c r="AD288" s="1" t="s">
        <v>66</v>
      </c>
      <c r="AE288" s="1">
        <v>10</v>
      </c>
      <c r="AH288" s="1">
        <v>0.19642857142857095</v>
      </c>
      <c r="AJ288" s="1">
        <f t="shared" si="39"/>
        <v>0.80357142857142905</v>
      </c>
      <c r="AK288" s="1">
        <f t="shared" si="38"/>
        <v>-0.21868920096482888</v>
      </c>
      <c r="AM288">
        <v>37</v>
      </c>
      <c r="AN288">
        <f>IF(ISNUMBER(AJ288),IF(AJ288&gt;=0.05,1,0),"")</f>
        <v>1</v>
      </c>
      <c r="AO288">
        <f>IF(ISNUMBER(AJ288),IF(AJ288&lt;0.005,1,0),"")</f>
        <v>0</v>
      </c>
      <c r="AQ288" s="34"/>
      <c r="AR288" s="35"/>
      <c r="AS288" s="36"/>
    </row>
    <row r="289" spans="1:45" ht="42.75" x14ac:dyDescent="0.45">
      <c r="A289" s="1" t="s">
        <v>73</v>
      </c>
      <c r="B289" s="1" t="s">
        <v>69</v>
      </c>
      <c r="C289" s="1">
        <v>106</v>
      </c>
      <c r="D289" s="1">
        <v>250.28</v>
      </c>
      <c r="E289" s="1">
        <v>-0.1</v>
      </c>
      <c r="F289" s="1">
        <v>1.57</v>
      </c>
      <c r="G289" s="1">
        <v>1.93</v>
      </c>
      <c r="H289" s="1">
        <v>0.87</v>
      </c>
      <c r="I289" s="1">
        <v>0.86</v>
      </c>
      <c r="J289" s="1">
        <v>1.49</v>
      </c>
      <c r="K289" s="1" t="s">
        <v>67</v>
      </c>
      <c r="M289" s="1">
        <v>0.42</v>
      </c>
      <c r="N289" s="1">
        <v>1.1499999999999999</v>
      </c>
      <c r="P289" s="1">
        <v>7.2</v>
      </c>
      <c r="Q289" s="1">
        <v>35.5</v>
      </c>
      <c r="R289" s="1" t="s">
        <v>63</v>
      </c>
      <c r="S289" s="1">
        <v>307.27999999999997</v>
      </c>
      <c r="T289" s="1">
        <v>377</v>
      </c>
      <c r="U289" s="1">
        <v>1.82</v>
      </c>
      <c r="V289" s="1">
        <v>9.4</v>
      </c>
      <c r="W289" s="1">
        <v>0.1</v>
      </c>
      <c r="X289" s="1">
        <f t="shared" si="44"/>
        <v>100</v>
      </c>
      <c r="Y289" s="1">
        <v>3.3000000000000002E-2</v>
      </c>
      <c r="Z289" s="1">
        <v>8.7999999999999995E-2</v>
      </c>
      <c r="AA289" s="1">
        <v>3.0434782608695601</v>
      </c>
      <c r="AB289" s="1">
        <v>6.8</v>
      </c>
      <c r="AC289" s="1">
        <v>65</v>
      </c>
      <c r="AD289" s="1" t="s">
        <v>66</v>
      </c>
      <c r="AE289" s="1">
        <v>10</v>
      </c>
      <c r="AH289" s="1">
        <v>0.35</v>
      </c>
      <c r="AJ289" s="1">
        <f t="shared" si="39"/>
        <v>0.65</v>
      </c>
      <c r="AK289" s="1">
        <f t="shared" si="38"/>
        <v>-0.43078291609245423</v>
      </c>
      <c r="AM289">
        <v>37</v>
      </c>
      <c r="AN289">
        <f>IF(ISNUMBER(AJ289),IF(AJ289&gt;=0.05,1,0),"")</f>
        <v>1</v>
      </c>
      <c r="AO289">
        <f>IF(ISNUMBER(AJ289),IF(AJ289&lt;0.005,1,0),"")</f>
        <v>0</v>
      </c>
      <c r="AQ289" s="34"/>
      <c r="AR289" s="35"/>
      <c r="AS289" s="36"/>
    </row>
    <row r="290" spans="1:45" ht="42.75" x14ac:dyDescent="0.45">
      <c r="A290" s="1" t="s">
        <v>73</v>
      </c>
      <c r="B290" s="1" t="s">
        <v>69</v>
      </c>
      <c r="C290" s="1">
        <v>106</v>
      </c>
      <c r="D290" s="1">
        <v>250.28</v>
      </c>
      <c r="E290" s="1">
        <v>-0.1</v>
      </c>
      <c r="F290" s="1">
        <v>1.57</v>
      </c>
      <c r="G290" s="1">
        <v>1.93</v>
      </c>
      <c r="H290" s="1">
        <v>0.87</v>
      </c>
      <c r="I290" s="1">
        <v>0.86</v>
      </c>
      <c r="J290" s="1">
        <v>1.49</v>
      </c>
      <c r="K290" s="1" t="s">
        <v>67</v>
      </c>
      <c r="M290" s="1">
        <v>0.42</v>
      </c>
      <c r="N290" s="1">
        <v>1.1499999999999999</v>
      </c>
      <c r="P290" s="1">
        <v>7.2</v>
      </c>
      <c r="Q290" s="1">
        <v>35.5</v>
      </c>
      <c r="R290" s="1" t="s">
        <v>63</v>
      </c>
      <c r="S290" s="1">
        <v>307.27999999999997</v>
      </c>
      <c r="T290" s="1">
        <v>377</v>
      </c>
      <c r="U290" s="1">
        <v>1.82</v>
      </c>
      <c r="V290" s="1">
        <v>9.4</v>
      </c>
      <c r="W290" s="1">
        <v>0.1</v>
      </c>
      <c r="X290" s="1">
        <f t="shared" si="44"/>
        <v>100</v>
      </c>
      <c r="Y290" s="1">
        <v>3.3000000000000002E-2</v>
      </c>
      <c r="Z290" s="1">
        <v>8.7999999999999995E-2</v>
      </c>
      <c r="AA290" s="1">
        <v>4.9275362318840497</v>
      </c>
      <c r="AB290" s="1">
        <v>6.8</v>
      </c>
      <c r="AC290" s="1">
        <v>65</v>
      </c>
      <c r="AD290" s="1" t="s">
        <v>66</v>
      </c>
      <c r="AE290" s="1">
        <v>10</v>
      </c>
      <c r="AH290" s="1">
        <v>0.58928571428571397</v>
      </c>
      <c r="AJ290" s="1">
        <f t="shared" si="39"/>
        <v>0.41071428571428603</v>
      </c>
      <c r="AK290" s="1">
        <f t="shared" si="38"/>
        <v>-0.88985747480599875</v>
      </c>
      <c r="AM290">
        <v>37</v>
      </c>
      <c r="AN290">
        <f>IF(ISNUMBER(AJ290),IF(AJ290&gt;=0.05,1,0),"")</f>
        <v>1</v>
      </c>
      <c r="AO290">
        <f>IF(ISNUMBER(AJ290),IF(AJ290&lt;0.005,1,0),"")</f>
        <v>0</v>
      </c>
      <c r="AQ290" s="34"/>
      <c r="AR290" s="35"/>
      <c r="AS290" s="36"/>
    </row>
    <row r="291" spans="1:45" ht="42.75" x14ac:dyDescent="0.45">
      <c r="A291" s="1" t="s">
        <v>73</v>
      </c>
      <c r="B291" s="1" t="s">
        <v>69</v>
      </c>
      <c r="C291" s="1">
        <v>106</v>
      </c>
      <c r="D291" s="1">
        <v>250.28</v>
      </c>
      <c r="E291" s="1">
        <v>-0.1</v>
      </c>
      <c r="F291" s="1">
        <v>1.57</v>
      </c>
      <c r="G291" s="1">
        <v>1.93</v>
      </c>
      <c r="H291" s="1">
        <v>0.87</v>
      </c>
      <c r="I291" s="1">
        <v>0.86</v>
      </c>
      <c r="J291" s="1">
        <v>1.49</v>
      </c>
      <c r="K291" s="1" t="s">
        <v>67</v>
      </c>
      <c r="M291" s="1">
        <v>0.42</v>
      </c>
      <c r="N291" s="1">
        <v>1.1499999999999999</v>
      </c>
      <c r="P291" s="1">
        <v>7.2</v>
      </c>
      <c r="Q291" s="1">
        <v>35.5</v>
      </c>
      <c r="R291" s="1" t="s">
        <v>63</v>
      </c>
      <c r="S291" s="1">
        <v>307.27999999999997</v>
      </c>
      <c r="T291" s="1">
        <v>377</v>
      </c>
      <c r="U291" s="1">
        <v>1.82</v>
      </c>
      <c r="V291" s="1">
        <v>9.4</v>
      </c>
      <c r="W291" s="1">
        <v>0.1</v>
      </c>
      <c r="X291" s="1">
        <f t="shared" si="44"/>
        <v>100</v>
      </c>
      <c r="Y291" s="1">
        <v>3.3000000000000002E-2</v>
      </c>
      <c r="Z291" s="1">
        <v>8.7999999999999995E-2</v>
      </c>
      <c r="AA291" s="1">
        <v>7.9710144927536204</v>
      </c>
      <c r="AB291" s="1">
        <v>6.8</v>
      </c>
      <c r="AC291" s="1">
        <v>65</v>
      </c>
      <c r="AD291" s="1" t="s">
        <v>66</v>
      </c>
      <c r="AE291" s="1">
        <v>10</v>
      </c>
      <c r="AH291" s="1">
        <v>0.69642857142857095</v>
      </c>
      <c r="AJ291" s="1">
        <f t="shared" si="39"/>
        <v>0.30357142857142905</v>
      </c>
      <c r="AK291" s="1">
        <f t="shared" si="38"/>
        <v>-1.1921383466789315</v>
      </c>
      <c r="AM291">
        <v>37</v>
      </c>
      <c r="AN291">
        <f>IF(ISNUMBER(AJ291),IF(AJ291&gt;=0.05,1,0),"")</f>
        <v>1</v>
      </c>
      <c r="AO291">
        <f>IF(ISNUMBER(AJ291),IF(AJ291&lt;0.005,1,0),"")</f>
        <v>0</v>
      </c>
      <c r="AQ291" s="34"/>
      <c r="AR291" s="35"/>
      <c r="AS291" s="36"/>
    </row>
    <row r="292" spans="1:45" ht="42.75" x14ac:dyDescent="0.45">
      <c r="A292" s="1" t="s">
        <v>73</v>
      </c>
      <c r="B292" s="1" t="s">
        <v>69</v>
      </c>
      <c r="C292" s="1">
        <v>106</v>
      </c>
      <c r="D292" s="1">
        <v>250.28</v>
      </c>
      <c r="E292" s="1">
        <v>-0.1</v>
      </c>
      <c r="F292" s="1">
        <v>1.57</v>
      </c>
      <c r="G292" s="1">
        <v>1.93</v>
      </c>
      <c r="H292" s="1">
        <v>0.87</v>
      </c>
      <c r="I292" s="1">
        <v>0.86</v>
      </c>
      <c r="J292" s="1">
        <v>1.49</v>
      </c>
      <c r="K292" s="1" t="s">
        <v>67</v>
      </c>
      <c r="M292" s="1">
        <v>0.42</v>
      </c>
      <c r="N292" s="1">
        <v>1.1499999999999999</v>
      </c>
      <c r="P292" s="1">
        <v>7.2</v>
      </c>
      <c r="Q292" s="1">
        <v>35.5</v>
      </c>
      <c r="R292" s="1" t="s">
        <v>63</v>
      </c>
      <c r="S292" s="1">
        <v>307.27999999999997</v>
      </c>
      <c r="T292" s="1">
        <v>377</v>
      </c>
      <c r="U292" s="1">
        <v>1.82</v>
      </c>
      <c r="V292" s="1">
        <v>9.4</v>
      </c>
      <c r="W292" s="1">
        <v>0.1</v>
      </c>
      <c r="X292" s="1">
        <f t="shared" si="44"/>
        <v>100</v>
      </c>
      <c r="Y292" s="1">
        <v>3.3000000000000002E-2</v>
      </c>
      <c r="Z292" s="1">
        <v>8.7999999999999995E-2</v>
      </c>
      <c r="AA292" s="1">
        <v>12.173913043478199</v>
      </c>
      <c r="AB292" s="1">
        <v>6.8</v>
      </c>
      <c r="AC292" s="1">
        <v>65</v>
      </c>
      <c r="AD292" s="1" t="s">
        <v>66</v>
      </c>
      <c r="AE292" s="1">
        <v>10</v>
      </c>
      <c r="AH292" s="1">
        <v>0.76071428571428601</v>
      </c>
      <c r="AJ292" s="1">
        <f t="shared" si="39"/>
        <v>0.23928571428571399</v>
      </c>
      <c r="AK292" s="1">
        <f t="shared" si="38"/>
        <v>-1.4300969837782849</v>
      </c>
      <c r="AM292">
        <v>37</v>
      </c>
      <c r="AN292">
        <f>IF(ISNUMBER(AJ292),IF(AJ292&gt;=0.05,1,0),"")</f>
        <v>1</v>
      </c>
      <c r="AO292">
        <f>IF(ISNUMBER(AJ292),IF(AJ292&lt;0.005,1,0),"")</f>
        <v>0</v>
      </c>
      <c r="AQ292" s="34"/>
      <c r="AR292" s="35"/>
      <c r="AS292" s="36"/>
    </row>
    <row r="293" spans="1:45" ht="42.75" x14ac:dyDescent="0.45">
      <c r="A293" s="1" t="s">
        <v>73</v>
      </c>
      <c r="B293" s="1" t="s">
        <v>69</v>
      </c>
      <c r="C293" s="1">
        <v>106</v>
      </c>
      <c r="D293" s="1">
        <v>250.28</v>
      </c>
      <c r="E293" s="1">
        <v>-0.1</v>
      </c>
      <c r="F293" s="1">
        <v>1.57</v>
      </c>
      <c r="G293" s="1">
        <v>1.93</v>
      </c>
      <c r="H293" s="1">
        <v>0.87</v>
      </c>
      <c r="I293" s="1">
        <v>0.86</v>
      </c>
      <c r="J293" s="1">
        <v>1.49</v>
      </c>
      <c r="K293" s="1" t="s">
        <v>67</v>
      </c>
      <c r="M293" s="1">
        <v>0.42</v>
      </c>
      <c r="N293" s="1">
        <v>1.1499999999999999</v>
      </c>
      <c r="P293" s="1">
        <v>7.2</v>
      </c>
      <c r="Q293" s="1">
        <v>35.5</v>
      </c>
      <c r="R293" s="1" t="s">
        <v>63</v>
      </c>
      <c r="S293" s="1">
        <v>307.27999999999997</v>
      </c>
      <c r="T293" s="1">
        <v>377</v>
      </c>
      <c r="U293" s="1">
        <v>1.82</v>
      </c>
      <c r="V293" s="1">
        <v>9.4</v>
      </c>
      <c r="W293" s="1">
        <v>0.1</v>
      </c>
      <c r="X293" s="1">
        <f t="shared" si="44"/>
        <v>100</v>
      </c>
      <c r="Y293" s="1">
        <v>3.3000000000000002E-2</v>
      </c>
      <c r="Z293" s="1">
        <v>8.7999999999999995E-2</v>
      </c>
      <c r="AA293" s="1">
        <v>16.159420289854999</v>
      </c>
      <c r="AB293" s="1">
        <v>6.8</v>
      </c>
      <c r="AC293" s="1">
        <v>65</v>
      </c>
      <c r="AD293" s="1" t="s">
        <v>66</v>
      </c>
      <c r="AE293" s="1">
        <v>10</v>
      </c>
      <c r="AH293" s="1">
        <v>0.81428571428571406</v>
      </c>
      <c r="AJ293" s="1">
        <f t="shared" si="39"/>
        <v>0.18571428571428594</v>
      </c>
      <c r="AK293" s="1">
        <f t="shared" si="38"/>
        <v>-1.6835458845878211</v>
      </c>
      <c r="AM293">
        <v>37</v>
      </c>
      <c r="AN293">
        <f>IF(ISNUMBER(AJ293),IF(AJ293&gt;=0.05,1,0),"")</f>
        <v>1</v>
      </c>
      <c r="AO293">
        <f>IF(ISNUMBER(AJ293),IF(AJ293&lt;0.005,1,0),"")</f>
        <v>0</v>
      </c>
      <c r="AQ293" s="34"/>
      <c r="AR293" s="35"/>
      <c r="AS293" s="36"/>
    </row>
    <row r="294" spans="1:45" ht="42.75" x14ac:dyDescent="0.45">
      <c r="A294" s="1" t="s">
        <v>73</v>
      </c>
      <c r="B294" s="1" t="s">
        <v>69</v>
      </c>
      <c r="C294" s="1">
        <v>106</v>
      </c>
      <c r="D294" s="1">
        <v>250.28</v>
      </c>
      <c r="E294" s="1">
        <v>-0.1</v>
      </c>
      <c r="F294" s="1">
        <v>1.57</v>
      </c>
      <c r="G294" s="1">
        <v>1.93</v>
      </c>
      <c r="H294" s="1">
        <v>0.87</v>
      </c>
      <c r="I294" s="1">
        <v>0.86</v>
      </c>
      <c r="J294" s="1">
        <v>1.49</v>
      </c>
      <c r="K294" s="1" t="s">
        <v>67</v>
      </c>
      <c r="M294" s="1">
        <v>0.42</v>
      </c>
      <c r="N294" s="1">
        <v>1.1499999999999999</v>
      </c>
      <c r="P294" s="1">
        <v>7.2</v>
      </c>
      <c r="Q294" s="1">
        <v>35.5</v>
      </c>
      <c r="R294" s="1" t="s">
        <v>63</v>
      </c>
      <c r="S294" s="1">
        <v>307.27999999999997</v>
      </c>
      <c r="T294" s="1">
        <v>377</v>
      </c>
      <c r="U294" s="1">
        <v>1.82</v>
      </c>
      <c r="V294" s="1">
        <v>9.4</v>
      </c>
      <c r="W294" s="1">
        <v>0.1</v>
      </c>
      <c r="X294" s="1">
        <f t="shared" si="44"/>
        <v>100</v>
      </c>
      <c r="Y294" s="1">
        <v>3.3000000000000002E-2</v>
      </c>
      <c r="Z294" s="1">
        <v>8.7999999999999995E-2</v>
      </c>
      <c r="AA294" s="1">
        <v>24.057971014492701</v>
      </c>
      <c r="AB294" s="1">
        <v>6.8</v>
      </c>
      <c r="AC294" s="1">
        <v>65</v>
      </c>
      <c r="AD294" s="1" t="s">
        <v>66</v>
      </c>
      <c r="AE294" s="1">
        <v>10</v>
      </c>
      <c r="AH294" s="1">
        <v>0.878571428571429</v>
      </c>
      <c r="AJ294" s="1">
        <f t="shared" si="39"/>
        <v>0.121428571428571</v>
      </c>
      <c r="AK294" s="1">
        <f t="shared" si="38"/>
        <v>-2.1084290785530917</v>
      </c>
      <c r="AM294">
        <v>37</v>
      </c>
      <c r="AN294">
        <f>IF(ISNUMBER(AJ294),IF(AJ294&gt;=0.05,1,0),"")</f>
        <v>1</v>
      </c>
      <c r="AO294">
        <f>IF(ISNUMBER(AJ294),IF(AJ294&lt;0.005,1,0),"")</f>
        <v>0</v>
      </c>
      <c r="AQ294" s="34"/>
      <c r="AR294" s="35"/>
      <c r="AS294" s="36"/>
    </row>
    <row r="295" spans="1:45" ht="42.75" x14ac:dyDescent="0.45">
      <c r="A295" s="1" t="s">
        <v>74</v>
      </c>
      <c r="B295" s="1" t="s">
        <v>69</v>
      </c>
      <c r="C295" s="1">
        <v>106</v>
      </c>
      <c r="D295" s="1">
        <v>250.28</v>
      </c>
      <c r="E295" s="1">
        <v>-0.1</v>
      </c>
      <c r="F295" s="1">
        <v>1.57</v>
      </c>
      <c r="G295" s="1">
        <v>1.93</v>
      </c>
      <c r="H295" s="1">
        <v>0.87</v>
      </c>
      <c r="I295" s="1">
        <v>0.86</v>
      </c>
      <c r="J295" s="1">
        <v>1.49</v>
      </c>
      <c r="K295" s="1" t="s">
        <v>67</v>
      </c>
      <c r="M295" s="1">
        <v>0.42</v>
      </c>
      <c r="N295" s="1">
        <v>1.1499999999999999</v>
      </c>
      <c r="P295" s="1">
        <v>7.2</v>
      </c>
      <c r="Q295" s="1">
        <v>35.5</v>
      </c>
      <c r="R295" s="1" t="s">
        <v>63</v>
      </c>
      <c r="S295" s="1">
        <v>307.27999999999997</v>
      </c>
      <c r="T295" s="1">
        <v>377</v>
      </c>
      <c r="U295" s="1">
        <v>1.82</v>
      </c>
      <c r="V295" s="1">
        <v>9.4</v>
      </c>
      <c r="W295" s="1">
        <v>0.1</v>
      </c>
      <c r="X295" s="1">
        <f t="shared" si="44"/>
        <v>100</v>
      </c>
      <c r="Y295" s="1">
        <v>3.3000000000000002E-2</v>
      </c>
      <c r="Z295" s="1">
        <v>8.7999999999999995E-2</v>
      </c>
      <c r="AA295" s="1">
        <v>0</v>
      </c>
      <c r="AB295" s="1">
        <v>4</v>
      </c>
      <c r="AC295" s="1">
        <v>25</v>
      </c>
      <c r="AD295" s="1" t="s">
        <v>66</v>
      </c>
      <c r="AE295" s="1">
        <v>10</v>
      </c>
      <c r="AH295" s="1">
        <v>0</v>
      </c>
      <c r="AI295" s="1">
        <f>-AK300/AA300</f>
        <v>5.1415728087836829E-2</v>
      </c>
      <c r="AJ295" s="1">
        <f t="shared" ref="AJ295" si="49">1-AH295</f>
        <v>1</v>
      </c>
      <c r="AK295" s="1">
        <f t="shared" si="38"/>
        <v>0</v>
      </c>
      <c r="AL295" s="1">
        <v>4.7035908447956597E-2</v>
      </c>
      <c r="AM295">
        <v>38</v>
      </c>
      <c r="AN295">
        <f>IF(ISNUMBER(AJ295),IF(AJ295&gt;=0.05,1,0),"")</f>
        <v>1</v>
      </c>
      <c r="AO295">
        <f>IF(ISNUMBER(AJ295),IF(AJ295&lt;0.005,1,0),"")</f>
        <v>0</v>
      </c>
      <c r="AP295">
        <f>IFERROR(MATCH(0,AN295:AN300,0)-1,6)</f>
        <v>6</v>
      </c>
      <c r="AQ295" s="34">
        <f>IF(AP295&lt;3,"n&lt;3",IFERROR(-SLOPE(AK295:INDEX(AK295:AK300,AP295),AA295:INDEX(AA295:AA300,AP295)),"no fit"))</f>
        <v>4.9136167742694248E-2</v>
      </c>
      <c r="AR295" s="35">
        <f>IF(AP295&lt;3,"",IFERROR(RSQ(AK295:INDEX(AK295:AK300,AP295),AA295:INDEX(AA295:AA300,AP295)),"flat"))</f>
        <v>0.989038204705741</v>
      </c>
      <c r="AS295" s="36">
        <f>IFERROR(AQ295/AI295,"")</f>
        <v>0.95566414344559591</v>
      </c>
    </row>
    <row r="296" spans="1:45" ht="42.75" x14ac:dyDescent="0.45">
      <c r="A296" s="1" t="s">
        <v>74</v>
      </c>
      <c r="B296" s="1" t="s">
        <v>69</v>
      </c>
      <c r="C296" s="1">
        <v>106</v>
      </c>
      <c r="D296" s="1">
        <v>250.28</v>
      </c>
      <c r="E296" s="1">
        <v>-0.1</v>
      </c>
      <c r="F296" s="1">
        <v>1.57</v>
      </c>
      <c r="G296" s="1">
        <v>1.93</v>
      </c>
      <c r="H296" s="1">
        <v>0.87</v>
      </c>
      <c r="I296" s="1">
        <v>0.86</v>
      </c>
      <c r="J296" s="1">
        <v>1.49</v>
      </c>
      <c r="K296" s="1" t="s">
        <v>67</v>
      </c>
      <c r="M296" s="1">
        <v>0.42</v>
      </c>
      <c r="N296" s="1">
        <v>1.1499999999999999</v>
      </c>
      <c r="P296" s="1">
        <v>7.2</v>
      </c>
      <c r="Q296" s="1">
        <v>35.5</v>
      </c>
      <c r="R296" s="1" t="s">
        <v>63</v>
      </c>
      <c r="S296" s="1">
        <v>307.27999999999997</v>
      </c>
      <c r="T296" s="1">
        <v>377</v>
      </c>
      <c r="U296" s="1">
        <v>1.82</v>
      </c>
      <c r="V296" s="1">
        <v>9.4</v>
      </c>
      <c r="W296" s="1">
        <v>0.1</v>
      </c>
      <c r="X296" s="1">
        <f t="shared" si="44"/>
        <v>100</v>
      </c>
      <c r="Y296" s="1">
        <v>3.3000000000000002E-2</v>
      </c>
      <c r="Z296" s="1">
        <v>8.7999999999999995E-2</v>
      </c>
      <c r="AA296" s="1">
        <v>0.97058823529411697</v>
      </c>
      <c r="AB296" s="1">
        <v>4</v>
      </c>
      <c r="AC296" s="1">
        <v>25</v>
      </c>
      <c r="AD296" s="1" t="s">
        <v>66</v>
      </c>
      <c r="AE296" s="1">
        <v>10</v>
      </c>
      <c r="AH296" s="1">
        <v>9.2957746478874004E-2</v>
      </c>
      <c r="AJ296" s="1">
        <f t="shared" si="39"/>
        <v>0.907042253521126</v>
      </c>
      <c r="AK296" s="1">
        <f t="shared" si="38"/>
        <v>-9.7566243931008337E-2</v>
      </c>
      <c r="AM296">
        <v>38</v>
      </c>
      <c r="AN296">
        <f>IF(ISNUMBER(AJ296),IF(AJ296&gt;=0.05,1,0),"")</f>
        <v>1</v>
      </c>
      <c r="AO296">
        <f>IF(ISNUMBER(AJ296),IF(AJ296&lt;0.005,1,0),"")</f>
        <v>0</v>
      </c>
      <c r="AQ296" s="34"/>
      <c r="AR296" s="35"/>
      <c r="AS296" s="36"/>
    </row>
    <row r="297" spans="1:45" ht="42.75" x14ac:dyDescent="0.45">
      <c r="A297" s="1" t="s">
        <v>74</v>
      </c>
      <c r="B297" s="1" t="s">
        <v>69</v>
      </c>
      <c r="C297" s="1">
        <v>106</v>
      </c>
      <c r="D297" s="1">
        <v>250.28</v>
      </c>
      <c r="E297" s="1">
        <v>-0.1</v>
      </c>
      <c r="F297" s="1">
        <v>1.57</v>
      </c>
      <c r="G297" s="1">
        <v>1.93</v>
      </c>
      <c r="H297" s="1">
        <v>0.87</v>
      </c>
      <c r="I297" s="1">
        <v>0.86</v>
      </c>
      <c r="J297" s="1">
        <v>1.49</v>
      </c>
      <c r="K297" s="1" t="s">
        <v>67</v>
      </c>
      <c r="M297" s="1">
        <v>0.42</v>
      </c>
      <c r="N297" s="1">
        <v>1.1499999999999999</v>
      </c>
      <c r="P297" s="1">
        <v>7.2</v>
      </c>
      <c r="Q297" s="1">
        <v>35.5</v>
      </c>
      <c r="R297" s="1" t="s">
        <v>63</v>
      </c>
      <c r="S297" s="1">
        <v>307.27999999999997</v>
      </c>
      <c r="T297" s="1">
        <v>377</v>
      </c>
      <c r="U297" s="1">
        <v>1.82</v>
      </c>
      <c r="V297" s="1">
        <v>9.4</v>
      </c>
      <c r="W297" s="1">
        <v>0.1</v>
      </c>
      <c r="X297" s="1">
        <f t="shared" si="44"/>
        <v>100</v>
      </c>
      <c r="Y297" s="1">
        <v>3.3000000000000002E-2</v>
      </c>
      <c r="Z297" s="1">
        <v>8.7999999999999995E-2</v>
      </c>
      <c r="AA297" s="1">
        <v>2.97058823529412</v>
      </c>
      <c r="AB297" s="1">
        <v>4</v>
      </c>
      <c r="AC297" s="1">
        <v>25</v>
      </c>
      <c r="AD297" s="1" t="s">
        <v>66</v>
      </c>
      <c r="AE297" s="1">
        <v>10</v>
      </c>
      <c r="AH297" s="1">
        <v>0.18309859154929697</v>
      </c>
      <c r="AJ297" s="1">
        <f t="shared" si="39"/>
        <v>0.81690140845070303</v>
      </c>
      <c r="AK297" s="1">
        <f t="shared" si="38"/>
        <v>-0.20223686649489755</v>
      </c>
      <c r="AM297">
        <v>38</v>
      </c>
      <c r="AN297">
        <f>IF(ISNUMBER(AJ297),IF(AJ297&gt;=0.05,1,0),"")</f>
        <v>1</v>
      </c>
      <c r="AO297">
        <f>IF(ISNUMBER(AJ297),IF(AJ297&lt;0.005,1,0),"")</f>
        <v>0</v>
      </c>
      <c r="AQ297" s="34"/>
      <c r="AR297" s="35"/>
      <c r="AS297" s="36"/>
    </row>
    <row r="298" spans="1:45" ht="42.75" x14ac:dyDescent="0.45">
      <c r="A298" s="1" t="s">
        <v>74</v>
      </c>
      <c r="B298" s="1" t="s">
        <v>69</v>
      </c>
      <c r="C298" s="1">
        <v>106</v>
      </c>
      <c r="D298" s="1">
        <v>250.28</v>
      </c>
      <c r="E298" s="1">
        <v>-0.1</v>
      </c>
      <c r="F298" s="1">
        <v>1.57</v>
      </c>
      <c r="G298" s="1">
        <v>1.93</v>
      </c>
      <c r="H298" s="1">
        <v>0.87</v>
      </c>
      <c r="I298" s="1">
        <v>0.86</v>
      </c>
      <c r="J298" s="1">
        <v>1.49</v>
      </c>
      <c r="K298" s="1" t="s">
        <v>67</v>
      </c>
      <c r="M298" s="1">
        <v>0.42</v>
      </c>
      <c r="N298" s="1">
        <v>1.1499999999999999</v>
      </c>
      <c r="P298" s="1">
        <v>7.2</v>
      </c>
      <c r="Q298" s="1">
        <v>35.5</v>
      </c>
      <c r="R298" s="1" t="s">
        <v>63</v>
      </c>
      <c r="S298" s="1">
        <v>307.27999999999997</v>
      </c>
      <c r="T298" s="1">
        <v>377</v>
      </c>
      <c r="U298" s="1">
        <v>1.82</v>
      </c>
      <c r="V298" s="1">
        <v>9.4</v>
      </c>
      <c r="W298" s="1">
        <v>0.1</v>
      </c>
      <c r="X298" s="1">
        <f t="shared" si="44"/>
        <v>100</v>
      </c>
      <c r="Y298" s="1">
        <v>3.3000000000000002E-2</v>
      </c>
      <c r="Z298" s="1">
        <v>8.7999999999999995E-2</v>
      </c>
      <c r="AA298" s="1">
        <v>5.9411764705882302</v>
      </c>
      <c r="AB298" s="1">
        <v>4</v>
      </c>
      <c r="AC298" s="1">
        <v>25</v>
      </c>
      <c r="AD298" s="1" t="s">
        <v>66</v>
      </c>
      <c r="AE298" s="1">
        <v>10</v>
      </c>
      <c r="AH298" s="1">
        <v>0.25352112676056404</v>
      </c>
      <c r="AJ298" s="1">
        <f t="shared" si="39"/>
        <v>0.74647887323943596</v>
      </c>
      <c r="AK298" s="1">
        <f t="shared" ref="AK298:AK348" si="50">LN(AJ298)</f>
        <v>-0.29238796348919449</v>
      </c>
      <c r="AM298">
        <v>38</v>
      </c>
      <c r="AN298">
        <f>IF(ISNUMBER(AJ298),IF(AJ298&gt;=0.05,1,0),"")</f>
        <v>1</v>
      </c>
      <c r="AO298">
        <f>IF(ISNUMBER(AJ298),IF(AJ298&lt;0.005,1,0),"")</f>
        <v>0</v>
      </c>
      <c r="AQ298" s="34"/>
      <c r="AR298" s="35"/>
      <c r="AS298" s="36"/>
    </row>
    <row r="299" spans="1:45" ht="42.75" x14ac:dyDescent="0.45">
      <c r="A299" s="1" t="s">
        <v>74</v>
      </c>
      <c r="B299" s="1" t="s">
        <v>69</v>
      </c>
      <c r="C299" s="1">
        <v>106</v>
      </c>
      <c r="D299" s="1">
        <v>250.28</v>
      </c>
      <c r="E299" s="1">
        <v>-0.1</v>
      </c>
      <c r="F299" s="1">
        <v>1.57</v>
      </c>
      <c r="G299" s="1">
        <v>1.93</v>
      </c>
      <c r="H299" s="1">
        <v>0.87</v>
      </c>
      <c r="I299" s="1">
        <v>0.86</v>
      </c>
      <c r="J299" s="1">
        <v>1.49</v>
      </c>
      <c r="K299" s="1" t="s">
        <v>67</v>
      </c>
      <c r="M299" s="1">
        <v>0.42</v>
      </c>
      <c r="N299" s="1">
        <v>1.1499999999999999</v>
      </c>
      <c r="P299" s="1">
        <v>7.2</v>
      </c>
      <c r="Q299" s="1">
        <v>35.5</v>
      </c>
      <c r="R299" s="1" t="s">
        <v>63</v>
      </c>
      <c r="S299" s="1">
        <v>307.27999999999997</v>
      </c>
      <c r="T299" s="1">
        <v>377</v>
      </c>
      <c r="U299" s="1">
        <v>1.82</v>
      </c>
      <c r="V299" s="1">
        <v>9.4</v>
      </c>
      <c r="W299" s="1">
        <v>0.1</v>
      </c>
      <c r="X299" s="1">
        <f t="shared" si="44"/>
        <v>100</v>
      </c>
      <c r="Y299" s="1">
        <v>3.3000000000000002E-2</v>
      </c>
      <c r="Z299" s="1">
        <v>8.7999999999999995E-2</v>
      </c>
      <c r="AA299" s="1">
        <v>8.9705882352941195</v>
      </c>
      <c r="AB299" s="1">
        <v>4</v>
      </c>
      <c r="AC299" s="1">
        <v>25</v>
      </c>
      <c r="AD299" s="1" t="s">
        <v>66</v>
      </c>
      <c r="AE299" s="1">
        <v>10</v>
      </c>
      <c r="AH299" s="1">
        <v>0.38028169014084601</v>
      </c>
      <c r="AJ299" s="1">
        <f t="shared" ref="AJ299:AJ348" si="51">1-AH299</f>
        <v>0.61971830985915399</v>
      </c>
      <c r="AK299" s="1">
        <f t="shared" si="50"/>
        <v>-0.47849024312305577</v>
      </c>
      <c r="AM299">
        <v>38</v>
      </c>
      <c r="AN299">
        <f>IF(ISNUMBER(AJ299),IF(AJ299&gt;=0.05,1,0),"")</f>
        <v>1</v>
      </c>
      <c r="AO299">
        <f>IF(ISNUMBER(AJ299),IF(AJ299&lt;0.005,1,0),"")</f>
        <v>0</v>
      </c>
      <c r="AQ299" s="34"/>
      <c r="AR299" s="35"/>
      <c r="AS299" s="36"/>
    </row>
    <row r="300" spans="1:45" ht="42.75" x14ac:dyDescent="0.45">
      <c r="A300" s="1" t="s">
        <v>74</v>
      </c>
      <c r="B300" s="1" t="s">
        <v>69</v>
      </c>
      <c r="C300" s="1">
        <v>106</v>
      </c>
      <c r="D300" s="1">
        <v>250.28</v>
      </c>
      <c r="E300" s="1">
        <v>-0.1</v>
      </c>
      <c r="F300" s="1">
        <v>1.57</v>
      </c>
      <c r="G300" s="1">
        <v>1.93</v>
      </c>
      <c r="H300" s="1">
        <v>0.87</v>
      </c>
      <c r="I300" s="1">
        <v>0.86</v>
      </c>
      <c r="J300" s="1">
        <v>1.49</v>
      </c>
      <c r="K300" s="1" t="s">
        <v>67</v>
      </c>
      <c r="M300" s="1">
        <v>0.42</v>
      </c>
      <c r="N300" s="1">
        <v>1.1499999999999999</v>
      </c>
      <c r="P300" s="1">
        <v>7.2</v>
      </c>
      <c r="Q300" s="1">
        <v>35.5</v>
      </c>
      <c r="R300" s="1" t="s">
        <v>63</v>
      </c>
      <c r="S300" s="1">
        <v>307.27999999999997</v>
      </c>
      <c r="T300" s="1">
        <v>377</v>
      </c>
      <c r="U300" s="1">
        <v>1.82</v>
      </c>
      <c r="V300" s="1">
        <v>9.4</v>
      </c>
      <c r="W300" s="1">
        <v>0.1</v>
      </c>
      <c r="X300" s="1">
        <f t="shared" si="44"/>
        <v>100</v>
      </c>
      <c r="Y300" s="1">
        <v>3.3000000000000002E-2</v>
      </c>
      <c r="Z300" s="1">
        <v>8.7999999999999995E-2</v>
      </c>
      <c r="AA300" s="1">
        <v>11.8529411764705</v>
      </c>
      <c r="AB300" s="1">
        <v>4</v>
      </c>
      <c r="AC300" s="1">
        <v>25</v>
      </c>
      <c r="AD300" s="1" t="s">
        <v>66</v>
      </c>
      <c r="AE300" s="1">
        <v>10</v>
      </c>
      <c r="AH300" s="1">
        <v>0.45633802816901503</v>
      </c>
      <c r="AJ300" s="1">
        <f t="shared" si="51"/>
        <v>0.54366197183098497</v>
      </c>
      <c r="AK300" s="1">
        <f t="shared" si="50"/>
        <v>-0.60942760057053202</v>
      </c>
      <c r="AM300">
        <v>38</v>
      </c>
      <c r="AN300">
        <f>IF(ISNUMBER(AJ300),IF(AJ300&gt;=0.05,1,0),"")</f>
        <v>1</v>
      </c>
      <c r="AO300">
        <f>IF(ISNUMBER(AJ300),IF(AJ300&lt;0.005,1,0),"")</f>
        <v>0</v>
      </c>
      <c r="AQ300" s="34"/>
      <c r="AR300" s="35"/>
      <c r="AS300" s="36"/>
    </row>
    <row r="301" spans="1:45" ht="42.75" x14ac:dyDescent="0.45">
      <c r="A301" s="1" t="s">
        <v>74</v>
      </c>
      <c r="B301" s="1" t="s">
        <v>69</v>
      </c>
      <c r="C301" s="1">
        <v>106</v>
      </c>
      <c r="D301" s="1">
        <v>250.28</v>
      </c>
      <c r="E301" s="1">
        <v>-0.1</v>
      </c>
      <c r="F301" s="1">
        <v>1.57</v>
      </c>
      <c r="G301" s="1">
        <v>1.93</v>
      </c>
      <c r="H301" s="1">
        <v>0.87</v>
      </c>
      <c r="I301" s="1">
        <v>0.86</v>
      </c>
      <c r="J301" s="1">
        <v>1.49</v>
      </c>
      <c r="K301" s="1" t="s">
        <v>67</v>
      </c>
      <c r="M301" s="1">
        <v>0.42</v>
      </c>
      <c r="N301" s="1">
        <v>1.1499999999999999</v>
      </c>
      <c r="P301" s="1">
        <v>7.2</v>
      </c>
      <c r="Q301" s="1">
        <v>35.5</v>
      </c>
      <c r="R301" s="1" t="s">
        <v>63</v>
      </c>
      <c r="S301" s="1">
        <v>307.27999999999997</v>
      </c>
      <c r="T301" s="1">
        <v>377</v>
      </c>
      <c r="U301" s="1">
        <v>1.82</v>
      </c>
      <c r="V301" s="1">
        <v>9.4</v>
      </c>
      <c r="W301" s="1">
        <v>0.1</v>
      </c>
      <c r="X301" s="1">
        <f t="shared" si="44"/>
        <v>100</v>
      </c>
      <c r="Y301" s="1">
        <v>3.3000000000000002E-2</v>
      </c>
      <c r="Z301" s="1">
        <v>8.7999999999999995E-2</v>
      </c>
      <c r="AA301" s="1">
        <v>0</v>
      </c>
      <c r="AB301" s="1">
        <v>5.5</v>
      </c>
      <c r="AC301" s="1">
        <v>25</v>
      </c>
      <c r="AD301" s="1" t="s">
        <v>66</v>
      </c>
      <c r="AE301" s="1">
        <v>10</v>
      </c>
      <c r="AH301" s="1">
        <v>0</v>
      </c>
      <c r="AI301" s="1">
        <f>-AK306/AA306</f>
        <v>0.10336908904755934</v>
      </c>
      <c r="AJ301" s="1">
        <f t="shared" ref="AJ301" si="52">1-AH301</f>
        <v>1</v>
      </c>
      <c r="AK301" s="1">
        <f t="shared" si="50"/>
        <v>0</v>
      </c>
      <c r="AL301" s="1">
        <v>9.0176433272284098E-2</v>
      </c>
      <c r="AM301">
        <v>39</v>
      </c>
      <c r="AN301">
        <f>IF(ISNUMBER(AJ301),IF(AJ301&gt;=0.05,1,0),"")</f>
        <v>1</v>
      </c>
      <c r="AO301">
        <f>IF(ISNUMBER(AJ301),IF(AJ301&lt;0.005,1,0),"")</f>
        <v>0</v>
      </c>
      <c r="AP301">
        <f>IFERROR(MATCH(0,AN301:AN306,0)-1,6)</f>
        <v>6</v>
      </c>
      <c r="AQ301" s="34">
        <f>IF(AP301&lt;3,"n&lt;3",IFERROR(-SLOPE(AK301:INDEX(AK301:AK306,AP301),AA301:INDEX(AA301:AA306,AP301)),"no fit"))</f>
        <v>9.8337759121974913E-2</v>
      </c>
      <c r="AR301" s="35">
        <f>IF(AP301&lt;3,"",IFERROR(RSQ(AK301:INDEX(AK301:AK306,AP301),AA301:INDEX(AA301:AA306,AP301)),"flat"))</f>
        <v>0.97490453595625148</v>
      </c>
      <c r="AS301" s="36">
        <f>IFERROR(AQ301/AI301,"")</f>
        <v>0.95132655253187393</v>
      </c>
    </row>
    <row r="302" spans="1:45" ht="42.75" x14ac:dyDescent="0.45">
      <c r="A302" s="1" t="s">
        <v>74</v>
      </c>
      <c r="B302" s="1" t="s">
        <v>69</v>
      </c>
      <c r="C302" s="1">
        <v>106</v>
      </c>
      <c r="D302" s="1">
        <v>250.28</v>
      </c>
      <c r="E302" s="1">
        <v>-0.1</v>
      </c>
      <c r="F302" s="1">
        <v>1.57</v>
      </c>
      <c r="G302" s="1">
        <v>1.93</v>
      </c>
      <c r="H302" s="1">
        <v>0.87</v>
      </c>
      <c r="I302" s="1">
        <v>0.86</v>
      </c>
      <c r="J302" s="1">
        <v>1.49</v>
      </c>
      <c r="K302" s="1" t="s">
        <v>67</v>
      </c>
      <c r="M302" s="1">
        <v>0.42</v>
      </c>
      <c r="N302" s="1">
        <v>1.1499999999999999</v>
      </c>
      <c r="P302" s="1">
        <v>7.2</v>
      </c>
      <c r="Q302" s="1">
        <v>35.5</v>
      </c>
      <c r="R302" s="1" t="s">
        <v>63</v>
      </c>
      <c r="S302" s="1">
        <v>307.27999999999997</v>
      </c>
      <c r="T302" s="1">
        <v>377</v>
      </c>
      <c r="U302" s="1">
        <v>1.82</v>
      </c>
      <c r="V302" s="1">
        <v>9.4</v>
      </c>
      <c r="W302" s="1">
        <v>0.1</v>
      </c>
      <c r="X302" s="1">
        <f t="shared" si="44"/>
        <v>100</v>
      </c>
      <c r="Y302" s="1">
        <v>3.3000000000000002E-2</v>
      </c>
      <c r="Z302" s="1">
        <v>8.7999999999999995E-2</v>
      </c>
      <c r="AA302" s="1">
        <v>1</v>
      </c>
      <c r="AB302" s="1">
        <v>5.5</v>
      </c>
      <c r="AC302" s="1">
        <v>25</v>
      </c>
      <c r="AD302" s="1" t="s">
        <v>66</v>
      </c>
      <c r="AE302" s="1">
        <v>10</v>
      </c>
      <c r="AH302" s="1">
        <v>0.21971830985915597</v>
      </c>
      <c r="AJ302" s="1">
        <f t="shared" si="51"/>
        <v>0.78028169014084403</v>
      </c>
      <c r="AK302" s="1">
        <f t="shared" si="50"/>
        <v>-0.24810028328807862</v>
      </c>
      <c r="AM302">
        <v>39</v>
      </c>
      <c r="AN302">
        <f>IF(ISNUMBER(AJ302),IF(AJ302&gt;=0.05,1,0),"")</f>
        <v>1</v>
      </c>
      <c r="AO302">
        <f>IF(ISNUMBER(AJ302),IF(AJ302&lt;0.005,1,0),"")</f>
        <v>0</v>
      </c>
      <c r="AQ302" s="34"/>
      <c r="AR302" s="35"/>
      <c r="AS302" s="36"/>
    </row>
    <row r="303" spans="1:45" ht="42.75" x14ac:dyDescent="0.45">
      <c r="A303" s="1" t="s">
        <v>74</v>
      </c>
      <c r="B303" s="1" t="s">
        <v>69</v>
      </c>
      <c r="C303" s="1">
        <v>106</v>
      </c>
      <c r="D303" s="1">
        <v>250.28</v>
      </c>
      <c r="E303" s="1">
        <v>-0.1</v>
      </c>
      <c r="F303" s="1">
        <v>1.57</v>
      </c>
      <c r="G303" s="1">
        <v>1.93</v>
      </c>
      <c r="H303" s="1">
        <v>0.87</v>
      </c>
      <c r="I303" s="1">
        <v>0.86</v>
      </c>
      <c r="J303" s="1">
        <v>1.49</v>
      </c>
      <c r="K303" s="1" t="s">
        <v>67</v>
      </c>
      <c r="M303" s="1">
        <v>0.42</v>
      </c>
      <c r="N303" s="1">
        <v>1.1499999999999999</v>
      </c>
      <c r="P303" s="1">
        <v>7.2</v>
      </c>
      <c r="Q303" s="1">
        <v>35.5</v>
      </c>
      <c r="R303" s="1" t="s">
        <v>63</v>
      </c>
      <c r="S303" s="1">
        <v>307.27999999999997</v>
      </c>
      <c r="T303" s="1">
        <v>377</v>
      </c>
      <c r="U303" s="1">
        <v>1.82</v>
      </c>
      <c r="V303" s="1">
        <v>9.4</v>
      </c>
      <c r="W303" s="1">
        <v>0.1</v>
      </c>
      <c r="X303" s="1">
        <f t="shared" si="44"/>
        <v>100</v>
      </c>
      <c r="Y303" s="1">
        <v>3.3000000000000002E-2</v>
      </c>
      <c r="Z303" s="1">
        <v>8.7999999999999995E-2</v>
      </c>
      <c r="AA303" s="1">
        <v>2.9411764705882302</v>
      </c>
      <c r="AB303" s="1">
        <v>5.5</v>
      </c>
      <c r="AC303" s="1">
        <v>25</v>
      </c>
      <c r="AD303" s="1" t="s">
        <v>66</v>
      </c>
      <c r="AE303" s="1">
        <v>10</v>
      </c>
      <c r="AH303" s="1">
        <v>0.388732394366198</v>
      </c>
      <c r="AJ303" s="1">
        <f t="shared" si="51"/>
        <v>0.611267605633802</v>
      </c>
      <c r="AK303" s="1">
        <f t="shared" si="50"/>
        <v>-0.49222043593495757</v>
      </c>
      <c r="AM303">
        <v>39</v>
      </c>
      <c r="AN303">
        <f>IF(ISNUMBER(AJ303),IF(AJ303&gt;=0.05,1,0),"")</f>
        <v>1</v>
      </c>
      <c r="AO303">
        <f>IF(ISNUMBER(AJ303),IF(AJ303&lt;0.005,1,0),"")</f>
        <v>0</v>
      </c>
      <c r="AQ303" s="34"/>
      <c r="AR303" s="35"/>
      <c r="AS303" s="36"/>
    </row>
    <row r="304" spans="1:45" ht="42.75" x14ac:dyDescent="0.45">
      <c r="A304" s="1" t="s">
        <v>74</v>
      </c>
      <c r="B304" s="1" t="s">
        <v>69</v>
      </c>
      <c r="C304" s="1">
        <v>106</v>
      </c>
      <c r="D304" s="1">
        <v>250.28</v>
      </c>
      <c r="E304" s="1">
        <v>-0.1</v>
      </c>
      <c r="F304" s="1">
        <v>1.57</v>
      </c>
      <c r="G304" s="1">
        <v>1.93</v>
      </c>
      <c r="H304" s="1">
        <v>0.87</v>
      </c>
      <c r="I304" s="1">
        <v>0.86</v>
      </c>
      <c r="J304" s="1">
        <v>1.49</v>
      </c>
      <c r="K304" s="1" t="s">
        <v>67</v>
      </c>
      <c r="M304" s="1">
        <v>0.42</v>
      </c>
      <c r="N304" s="1">
        <v>1.1499999999999999</v>
      </c>
      <c r="P304" s="1">
        <v>7.2</v>
      </c>
      <c r="Q304" s="1">
        <v>35.5</v>
      </c>
      <c r="R304" s="1" t="s">
        <v>63</v>
      </c>
      <c r="S304" s="1">
        <v>307.27999999999997</v>
      </c>
      <c r="T304" s="1">
        <v>377</v>
      </c>
      <c r="U304" s="1">
        <v>1.82</v>
      </c>
      <c r="V304" s="1">
        <v>9.4</v>
      </c>
      <c r="W304" s="1">
        <v>0.1</v>
      </c>
      <c r="X304" s="1">
        <f t="shared" si="44"/>
        <v>100</v>
      </c>
      <c r="Y304" s="1">
        <v>3.3000000000000002E-2</v>
      </c>
      <c r="Z304" s="1">
        <v>8.7999999999999995E-2</v>
      </c>
      <c r="AA304" s="1">
        <v>5.9117647058823497</v>
      </c>
      <c r="AB304" s="1">
        <v>5.5</v>
      </c>
      <c r="AC304" s="1">
        <v>25</v>
      </c>
      <c r="AD304" s="1" t="s">
        <v>66</v>
      </c>
      <c r="AE304" s="1">
        <v>10</v>
      </c>
      <c r="AH304" s="1">
        <v>0.52112676056338092</v>
      </c>
      <c r="AJ304" s="1">
        <f t="shared" si="51"/>
        <v>0.47887323943661908</v>
      </c>
      <c r="AK304" s="1">
        <f t="shared" si="50"/>
        <v>-0.73631935242515534</v>
      </c>
      <c r="AM304">
        <v>39</v>
      </c>
      <c r="AN304">
        <f>IF(ISNUMBER(AJ304),IF(AJ304&gt;=0.05,1,0),"")</f>
        <v>1</v>
      </c>
      <c r="AO304">
        <f>IF(ISNUMBER(AJ304),IF(AJ304&lt;0.005,1,0),"")</f>
        <v>0</v>
      </c>
      <c r="AQ304" s="34"/>
      <c r="AR304" s="35"/>
      <c r="AS304" s="36"/>
    </row>
    <row r="305" spans="1:45" ht="42.75" x14ac:dyDescent="0.45">
      <c r="A305" s="1" t="s">
        <v>74</v>
      </c>
      <c r="B305" s="1" t="s">
        <v>69</v>
      </c>
      <c r="C305" s="1">
        <v>106</v>
      </c>
      <c r="D305" s="1">
        <v>250.28</v>
      </c>
      <c r="E305" s="1">
        <v>-0.1</v>
      </c>
      <c r="F305" s="1">
        <v>1.57</v>
      </c>
      <c r="G305" s="1">
        <v>1.93</v>
      </c>
      <c r="H305" s="1">
        <v>0.87</v>
      </c>
      <c r="I305" s="1">
        <v>0.86</v>
      </c>
      <c r="J305" s="1">
        <v>1.49</v>
      </c>
      <c r="K305" s="1" t="s">
        <v>67</v>
      </c>
      <c r="M305" s="1">
        <v>0.42</v>
      </c>
      <c r="N305" s="1">
        <v>1.1499999999999999</v>
      </c>
      <c r="P305" s="1">
        <v>7.2</v>
      </c>
      <c r="Q305" s="1">
        <v>35.5</v>
      </c>
      <c r="R305" s="1" t="s">
        <v>63</v>
      </c>
      <c r="S305" s="1">
        <v>307.27999999999997</v>
      </c>
      <c r="T305" s="1">
        <v>377</v>
      </c>
      <c r="U305" s="1">
        <v>1.82</v>
      </c>
      <c r="V305" s="1">
        <v>9.4</v>
      </c>
      <c r="W305" s="1">
        <v>0.1</v>
      </c>
      <c r="X305" s="1">
        <f t="shared" si="44"/>
        <v>100</v>
      </c>
      <c r="Y305" s="1">
        <v>3.3000000000000002E-2</v>
      </c>
      <c r="Z305" s="1">
        <v>8.7999999999999995E-2</v>
      </c>
      <c r="AA305" s="1">
        <v>8.8823529411764692</v>
      </c>
      <c r="AB305" s="1">
        <v>5.5</v>
      </c>
      <c r="AC305" s="1">
        <v>25</v>
      </c>
      <c r="AD305" s="1" t="s">
        <v>66</v>
      </c>
      <c r="AE305" s="1">
        <v>10</v>
      </c>
      <c r="AH305" s="1">
        <v>0.63661971830986008</v>
      </c>
      <c r="AJ305" s="1">
        <f t="shared" si="51"/>
        <v>0.36338028169013992</v>
      </c>
      <c r="AK305" s="1">
        <f t="shared" si="50"/>
        <v>-1.0123053851137462</v>
      </c>
      <c r="AM305">
        <v>39</v>
      </c>
      <c r="AN305">
        <f>IF(ISNUMBER(AJ305),IF(AJ305&gt;=0.05,1,0),"")</f>
        <v>1</v>
      </c>
      <c r="AO305">
        <f>IF(ISNUMBER(AJ305),IF(AJ305&lt;0.005,1,0),"")</f>
        <v>0</v>
      </c>
      <c r="AQ305" s="34"/>
      <c r="AR305" s="35"/>
      <c r="AS305" s="36"/>
    </row>
    <row r="306" spans="1:45" ht="42.75" x14ac:dyDescent="0.45">
      <c r="A306" s="1" t="s">
        <v>74</v>
      </c>
      <c r="B306" s="1" t="s">
        <v>69</v>
      </c>
      <c r="C306" s="1">
        <v>106</v>
      </c>
      <c r="D306" s="1">
        <v>250.28</v>
      </c>
      <c r="E306" s="1">
        <v>-0.1</v>
      </c>
      <c r="F306" s="1">
        <v>1.57</v>
      </c>
      <c r="G306" s="1">
        <v>1.93</v>
      </c>
      <c r="H306" s="1">
        <v>0.87</v>
      </c>
      <c r="I306" s="1">
        <v>0.86</v>
      </c>
      <c r="J306" s="1">
        <v>1.49</v>
      </c>
      <c r="K306" s="1" t="s">
        <v>67</v>
      </c>
      <c r="M306" s="1">
        <v>0.42</v>
      </c>
      <c r="N306" s="1">
        <v>1.1499999999999999</v>
      </c>
      <c r="P306" s="1">
        <v>7.2</v>
      </c>
      <c r="Q306" s="1">
        <v>35.5</v>
      </c>
      <c r="R306" s="1" t="s">
        <v>63</v>
      </c>
      <c r="S306" s="1">
        <v>307.27999999999997</v>
      </c>
      <c r="T306" s="1">
        <v>377</v>
      </c>
      <c r="U306" s="1">
        <v>1.82</v>
      </c>
      <c r="V306" s="1">
        <v>9.4</v>
      </c>
      <c r="W306" s="1">
        <v>0.1</v>
      </c>
      <c r="X306" s="1">
        <f t="shared" si="44"/>
        <v>100</v>
      </c>
      <c r="Y306" s="1">
        <v>3.3000000000000002E-2</v>
      </c>
      <c r="Z306" s="1">
        <v>8.7999999999999995E-2</v>
      </c>
      <c r="AA306" s="1">
        <v>11.9705882352941</v>
      </c>
      <c r="AB306" s="1">
        <v>5.5</v>
      </c>
      <c r="AC306" s="1">
        <v>25</v>
      </c>
      <c r="AD306" s="1" t="s">
        <v>66</v>
      </c>
      <c r="AE306" s="1">
        <v>10</v>
      </c>
      <c r="AH306" s="1">
        <v>0.70985915492957807</v>
      </c>
      <c r="AJ306" s="1">
        <f t="shared" si="51"/>
        <v>0.29014084507042193</v>
      </c>
      <c r="AK306" s="1">
        <f t="shared" si="50"/>
        <v>-1.2373888012457821</v>
      </c>
      <c r="AM306">
        <v>39</v>
      </c>
      <c r="AN306">
        <f>IF(ISNUMBER(AJ306),IF(AJ306&gt;=0.05,1,0),"")</f>
        <v>1</v>
      </c>
      <c r="AO306">
        <f>IF(ISNUMBER(AJ306),IF(AJ306&lt;0.005,1,0),"")</f>
        <v>0</v>
      </c>
      <c r="AQ306" s="34"/>
      <c r="AR306" s="35"/>
      <c r="AS306" s="36"/>
    </row>
    <row r="307" spans="1:45" ht="42.75" x14ac:dyDescent="0.45">
      <c r="A307" s="1" t="s">
        <v>74</v>
      </c>
      <c r="B307" s="1" t="s">
        <v>69</v>
      </c>
      <c r="C307" s="1">
        <v>106</v>
      </c>
      <c r="D307" s="1">
        <v>250.28</v>
      </c>
      <c r="E307" s="1">
        <v>-0.1</v>
      </c>
      <c r="F307" s="1">
        <v>1.57</v>
      </c>
      <c r="G307" s="1">
        <v>1.93</v>
      </c>
      <c r="H307" s="1">
        <v>0.87</v>
      </c>
      <c r="I307" s="1">
        <v>0.86</v>
      </c>
      <c r="J307" s="1">
        <v>1.49</v>
      </c>
      <c r="K307" s="1" t="s">
        <v>67</v>
      </c>
      <c r="M307" s="1">
        <v>0.42</v>
      </c>
      <c r="N307" s="1">
        <v>1.1499999999999999</v>
      </c>
      <c r="P307" s="1">
        <v>7.2</v>
      </c>
      <c r="Q307" s="1">
        <v>35.5</v>
      </c>
      <c r="R307" s="1" t="s">
        <v>63</v>
      </c>
      <c r="S307" s="1">
        <v>307.27999999999997</v>
      </c>
      <c r="T307" s="1">
        <v>377</v>
      </c>
      <c r="U307" s="1">
        <v>1.82</v>
      </c>
      <c r="V307" s="1">
        <v>9.4</v>
      </c>
      <c r="W307" s="1">
        <v>0.1</v>
      </c>
      <c r="X307" s="1">
        <f t="shared" si="44"/>
        <v>100</v>
      </c>
      <c r="Y307" s="1">
        <v>3.3000000000000002E-2</v>
      </c>
      <c r="Z307" s="1">
        <v>8.7999999999999995E-2</v>
      </c>
      <c r="AA307" s="1">
        <v>0</v>
      </c>
      <c r="AB307" s="1">
        <v>8.5</v>
      </c>
      <c r="AC307" s="1">
        <v>25</v>
      </c>
      <c r="AD307" s="1" t="s">
        <v>66</v>
      </c>
      <c r="AE307" s="1">
        <v>10</v>
      </c>
      <c r="AH307" s="1">
        <v>0</v>
      </c>
      <c r="AI307" s="1">
        <f>-AK312/AA312</f>
        <v>1.2180107731175869</v>
      </c>
      <c r="AJ307" s="1">
        <f t="shared" ref="AJ307" si="53">1-AH307</f>
        <v>1</v>
      </c>
      <c r="AK307" s="1">
        <f t="shared" si="50"/>
        <v>0</v>
      </c>
      <c r="AL307" s="1">
        <v>1.2553730332380499</v>
      </c>
      <c r="AM307">
        <v>40</v>
      </c>
      <c r="AN307">
        <f>IF(ISNUMBER(AJ307),IF(AJ307&gt;=0.05,1,0),"")</f>
        <v>1</v>
      </c>
      <c r="AO307">
        <f>IF(ISNUMBER(AJ307),IF(AJ307&lt;0.005,1,0),"")</f>
        <v>0</v>
      </c>
      <c r="AP307">
        <f>IFERROR(MATCH(0,AN307:AN312,0)-1,6)</f>
        <v>4</v>
      </c>
      <c r="AQ307" s="34">
        <f>IF(AP307&lt;3,"n&lt;3",IFERROR(-SLOPE(AK307:INDEX(AK307:AK312,AP307),AA307:INDEX(AA307:AA312,AP307)),"no fit"))</f>
        <v>0.46770897472131695</v>
      </c>
      <c r="AR307" s="35">
        <f>IF(AP307&lt;3,"",IFERROR(RSQ(AK307:INDEX(AK307:AK312,AP307),AA307:INDEX(AA307:AA312,AP307)),"flat"))</f>
        <v>0.95529020864694192</v>
      </c>
      <c r="AS307" s="36">
        <f>IFERROR(AQ307/AI307,"")</f>
        <v>0.38399411979270259</v>
      </c>
    </row>
    <row r="308" spans="1:45" ht="42.75" x14ac:dyDescent="0.45">
      <c r="A308" s="1" t="s">
        <v>74</v>
      </c>
      <c r="B308" s="1" t="s">
        <v>69</v>
      </c>
      <c r="C308" s="1">
        <v>106</v>
      </c>
      <c r="D308" s="1">
        <v>250.28</v>
      </c>
      <c r="E308" s="1">
        <v>-0.1</v>
      </c>
      <c r="F308" s="1">
        <v>1.57</v>
      </c>
      <c r="G308" s="1">
        <v>1.93</v>
      </c>
      <c r="H308" s="1">
        <v>0.87</v>
      </c>
      <c r="I308" s="1">
        <v>0.86</v>
      </c>
      <c r="J308" s="1">
        <v>1.49</v>
      </c>
      <c r="K308" s="1" t="s">
        <v>67</v>
      </c>
      <c r="M308" s="1">
        <v>0.42</v>
      </c>
      <c r="N308" s="1">
        <v>1.1499999999999999</v>
      </c>
      <c r="P308" s="1">
        <v>7.2</v>
      </c>
      <c r="Q308" s="1">
        <v>35.5</v>
      </c>
      <c r="R308" s="1" t="s">
        <v>63</v>
      </c>
      <c r="S308" s="1">
        <v>307.27999999999997</v>
      </c>
      <c r="T308" s="1">
        <v>377</v>
      </c>
      <c r="U308" s="1">
        <v>1.82</v>
      </c>
      <c r="V308" s="1">
        <v>9.4</v>
      </c>
      <c r="W308" s="1">
        <v>0.1</v>
      </c>
      <c r="X308" s="1">
        <f t="shared" si="44"/>
        <v>100</v>
      </c>
      <c r="Y308" s="1">
        <v>3.3000000000000002E-2</v>
      </c>
      <c r="Z308" s="1">
        <v>8.7999999999999995E-2</v>
      </c>
      <c r="AA308" s="1">
        <v>0.88235294117647001</v>
      </c>
      <c r="AB308" s="1">
        <v>8.5</v>
      </c>
      <c r="AC308" s="1">
        <v>25</v>
      </c>
      <c r="AD308" s="1" t="s">
        <v>66</v>
      </c>
      <c r="AE308" s="1">
        <v>10</v>
      </c>
      <c r="AH308" s="1">
        <v>0.48450704225352204</v>
      </c>
      <c r="AJ308" s="1">
        <f t="shared" si="51"/>
        <v>0.51549295774647796</v>
      </c>
      <c r="AK308" s="1">
        <f t="shared" si="50"/>
        <v>-0.6626316366339966</v>
      </c>
      <c r="AM308">
        <v>40</v>
      </c>
      <c r="AN308">
        <f>IF(ISNUMBER(AJ308),IF(AJ308&gt;=0.05,1,0),"")</f>
        <v>1</v>
      </c>
      <c r="AO308">
        <f>IF(ISNUMBER(AJ308),IF(AJ308&lt;0.005,1,0),"")</f>
        <v>0</v>
      </c>
      <c r="AQ308" s="34"/>
      <c r="AR308" s="35"/>
      <c r="AS308" s="36"/>
    </row>
    <row r="309" spans="1:45" ht="42.75" x14ac:dyDescent="0.45">
      <c r="A309" s="1" t="s">
        <v>74</v>
      </c>
      <c r="B309" s="1" t="s">
        <v>69</v>
      </c>
      <c r="C309" s="1">
        <v>106</v>
      </c>
      <c r="D309" s="1">
        <v>250.28</v>
      </c>
      <c r="E309" s="1">
        <v>-0.1</v>
      </c>
      <c r="F309" s="1">
        <v>1.57</v>
      </c>
      <c r="G309" s="1">
        <v>1.93</v>
      </c>
      <c r="H309" s="1">
        <v>0.87</v>
      </c>
      <c r="I309" s="1">
        <v>0.86</v>
      </c>
      <c r="J309" s="1">
        <v>1.49</v>
      </c>
      <c r="K309" s="1" t="s">
        <v>67</v>
      </c>
      <c r="M309" s="1">
        <v>0.42</v>
      </c>
      <c r="N309" s="1">
        <v>1.1499999999999999</v>
      </c>
      <c r="P309" s="1">
        <v>7.2</v>
      </c>
      <c r="Q309" s="1">
        <v>35.5</v>
      </c>
      <c r="R309" s="1" t="s">
        <v>63</v>
      </c>
      <c r="S309" s="1">
        <v>307.27999999999997</v>
      </c>
      <c r="T309" s="1">
        <v>377</v>
      </c>
      <c r="U309" s="1">
        <v>1.82</v>
      </c>
      <c r="V309" s="1">
        <v>9.4</v>
      </c>
      <c r="W309" s="1">
        <v>0.1</v>
      </c>
      <c r="X309" s="1">
        <f t="shared" si="44"/>
        <v>100</v>
      </c>
      <c r="Y309" s="1">
        <v>3.3000000000000002E-2</v>
      </c>
      <c r="Z309" s="1">
        <v>8.7999999999999995E-2</v>
      </c>
      <c r="AA309" s="1">
        <v>3.0588235294117601</v>
      </c>
      <c r="AB309" s="1">
        <v>8.5</v>
      </c>
      <c r="AC309" s="1">
        <v>25</v>
      </c>
      <c r="AD309" s="1" t="s">
        <v>66</v>
      </c>
      <c r="AE309" s="1">
        <v>10</v>
      </c>
      <c r="AH309" s="1">
        <v>0.86478873239436704</v>
      </c>
      <c r="AJ309" s="1">
        <f t="shared" si="51"/>
        <v>0.13521126760563296</v>
      </c>
      <c r="AK309" s="1">
        <f t="shared" si="50"/>
        <v>-2.000916778567531</v>
      </c>
      <c r="AM309">
        <v>40</v>
      </c>
      <c r="AN309">
        <f>IF(ISNUMBER(AJ309),IF(AJ309&gt;=0.05,1,0),"")</f>
        <v>1</v>
      </c>
      <c r="AO309">
        <f>IF(ISNUMBER(AJ309),IF(AJ309&lt;0.005,1,0),"")</f>
        <v>0</v>
      </c>
      <c r="AQ309" s="34"/>
      <c r="AR309" s="35"/>
      <c r="AS309" s="36"/>
    </row>
    <row r="310" spans="1:45" ht="42.75" x14ac:dyDescent="0.45">
      <c r="A310" s="1" t="s">
        <v>74</v>
      </c>
      <c r="B310" s="1" t="s">
        <v>69</v>
      </c>
      <c r="C310" s="1">
        <v>106</v>
      </c>
      <c r="D310" s="1">
        <v>250.28</v>
      </c>
      <c r="E310" s="1">
        <v>-0.1</v>
      </c>
      <c r="F310" s="1">
        <v>1.57</v>
      </c>
      <c r="G310" s="1">
        <v>1.93</v>
      </c>
      <c r="H310" s="1">
        <v>0.87</v>
      </c>
      <c r="I310" s="1">
        <v>0.86</v>
      </c>
      <c r="J310" s="1">
        <v>1.49</v>
      </c>
      <c r="K310" s="1" t="s">
        <v>67</v>
      </c>
      <c r="M310" s="1">
        <v>0.42</v>
      </c>
      <c r="N310" s="1">
        <v>1.1499999999999999</v>
      </c>
      <c r="P310" s="1">
        <v>7.2</v>
      </c>
      <c r="Q310" s="1">
        <v>35.5</v>
      </c>
      <c r="R310" s="1" t="s">
        <v>63</v>
      </c>
      <c r="S310" s="1">
        <v>307.27999999999997</v>
      </c>
      <c r="T310" s="1">
        <v>377</v>
      </c>
      <c r="U310" s="1">
        <v>1.82</v>
      </c>
      <c r="V310" s="1">
        <v>9.4</v>
      </c>
      <c r="W310" s="1">
        <v>0.1</v>
      </c>
      <c r="X310" s="1">
        <f t="shared" si="44"/>
        <v>100</v>
      </c>
      <c r="Y310" s="1">
        <v>3.3000000000000002E-2</v>
      </c>
      <c r="Z310" s="1">
        <v>8.7999999999999995E-2</v>
      </c>
      <c r="AA310" s="1">
        <v>5.9117647058823497</v>
      </c>
      <c r="AB310" s="1">
        <v>8.5</v>
      </c>
      <c r="AC310" s="1">
        <v>25</v>
      </c>
      <c r="AD310" s="1" t="s">
        <v>66</v>
      </c>
      <c r="AE310" s="1">
        <v>10</v>
      </c>
      <c r="AH310" s="1">
        <v>0.93802816901408426</v>
      </c>
      <c r="AJ310" s="1">
        <f t="shared" si="51"/>
        <v>6.1971830985915743E-2</v>
      </c>
      <c r="AK310" s="1">
        <f t="shared" si="50"/>
        <v>-2.7810753361170959</v>
      </c>
      <c r="AM310">
        <v>40</v>
      </c>
      <c r="AN310">
        <f>IF(ISNUMBER(AJ310),IF(AJ310&gt;=0.05,1,0),"")</f>
        <v>1</v>
      </c>
      <c r="AO310">
        <f>IF(ISNUMBER(AJ310),IF(AJ310&lt;0.005,1,0),"")</f>
        <v>0</v>
      </c>
      <c r="AQ310" s="34"/>
      <c r="AR310" s="35"/>
      <c r="AS310" s="36"/>
    </row>
    <row r="311" spans="1:45" ht="42.75" x14ac:dyDescent="0.45">
      <c r="A311" s="1" t="s">
        <v>74</v>
      </c>
      <c r="B311" s="1" t="s">
        <v>69</v>
      </c>
      <c r="C311" s="1">
        <v>106</v>
      </c>
      <c r="D311" s="1">
        <v>250.28</v>
      </c>
      <c r="E311" s="1">
        <v>-0.1</v>
      </c>
      <c r="F311" s="1">
        <v>1.57</v>
      </c>
      <c r="G311" s="1">
        <v>1.93</v>
      </c>
      <c r="H311" s="1">
        <v>0.87</v>
      </c>
      <c r="I311" s="1">
        <v>0.86</v>
      </c>
      <c r="J311" s="1">
        <v>1.49</v>
      </c>
      <c r="K311" s="1" t="s">
        <v>67</v>
      </c>
      <c r="M311" s="1">
        <v>0.42</v>
      </c>
      <c r="N311" s="1">
        <v>1.1499999999999999</v>
      </c>
      <c r="P311" s="1">
        <v>7.2</v>
      </c>
      <c r="Q311" s="1">
        <v>35.5</v>
      </c>
      <c r="R311" s="1" t="s">
        <v>63</v>
      </c>
      <c r="S311" s="1">
        <v>307.27999999999997</v>
      </c>
      <c r="T311" s="1">
        <v>377</v>
      </c>
      <c r="U311" s="1">
        <v>1.82</v>
      </c>
      <c r="V311" s="1">
        <v>9.4</v>
      </c>
      <c r="W311" s="1">
        <v>0.1</v>
      </c>
      <c r="X311" s="1">
        <f t="shared" si="44"/>
        <v>100</v>
      </c>
      <c r="Y311" s="1">
        <v>3.3000000000000002E-2</v>
      </c>
      <c r="Z311" s="1">
        <v>8.7999999999999995E-2</v>
      </c>
      <c r="AA311" s="1">
        <v>8.8529411764705905</v>
      </c>
      <c r="AB311" s="1">
        <v>8.5</v>
      </c>
      <c r="AC311" s="1">
        <v>25</v>
      </c>
      <c r="AD311" s="1" t="s">
        <v>66</v>
      </c>
      <c r="AE311" s="1">
        <v>10</v>
      </c>
      <c r="AH311" s="1">
        <v>0.99999899999999997</v>
      </c>
      <c r="AJ311" s="1">
        <f t="shared" si="51"/>
        <v>1.0000000000287557E-6</v>
      </c>
      <c r="AK311" s="1">
        <f t="shared" si="50"/>
        <v>-13.815510557935518</v>
      </c>
      <c r="AM311">
        <v>40</v>
      </c>
      <c r="AN311">
        <f>IF(ISNUMBER(AJ311),IF(AJ311&gt;=0.05,1,0),"")</f>
        <v>0</v>
      </c>
      <c r="AO311">
        <f>IF(ISNUMBER(AJ311),IF(AJ311&lt;0.005,1,0),"")</f>
        <v>1</v>
      </c>
      <c r="AQ311" s="34"/>
      <c r="AR311" s="35"/>
      <c r="AS311" s="36"/>
    </row>
    <row r="312" spans="1:45" ht="42.75" x14ac:dyDescent="0.45">
      <c r="A312" s="1" t="s">
        <v>74</v>
      </c>
      <c r="B312" s="1" t="s">
        <v>69</v>
      </c>
      <c r="C312" s="1">
        <v>106</v>
      </c>
      <c r="D312" s="1">
        <v>250.28</v>
      </c>
      <c r="E312" s="1">
        <v>-0.1</v>
      </c>
      <c r="F312" s="1">
        <v>1.57</v>
      </c>
      <c r="G312" s="1">
        <v>1.93</v>
      </c>
      <c r="H312" s="1">
        <v>0.87</v>
      </c>
      <c r="I312" s="1">
        <v>0.86</v>
      </c>
      <c r="J312" s="1">
        <v>1.49</v>
      </c>
      <c r="K312" s="1" t="s">
        <v>67</v>
      </c>
      <c r="M312" s="1">
        <v>0.42</v>
      </c>
      <c r="N312" s="1">
        <v>1.1499999999999999</v>
      </c>
      <c r="P312" s="1">
        <v>7.2</v>
      </c>
      <c r="Q312" s="1">
        <v>35.5</v>
      </c>
      <c r="R312" s="1" t="s">
        <v>63</v>
      </c>
      <c r="S312" s="1">
        <v>307.27999999999997</v>
      </c>
      <c r="T312" s="1">
        <v>377</v>
      </c>
      <c r="U312" s="1">
        <v>1.82</v>
      </c>
      <c r="V312" s="1">
        <v>9.4</v>
      </c>
      <c r="W312" s="1">
        <v>0.1</v>
      </c>
      <c r="X312" s="1">
        <f t="shared" si="44"/>
        <v>100</v>
      </c>
      <c r="Y312" s="1">
        <v>3.3000000000000002E-2</v>
      </c>
      <c r="Z312" s="1">
        <v>8.7999999999999995E-2</v>
      </c>
      <c r="AA312" s="1">
        <v>11.9117647058823</v>
      </c>
      <c r="AB312" s="1">
        <v>8.5</v>
      </c>
      <c r="AC312" s="1">
        <v>25</v>
      </c>
      <c r="AD312" s="1" t="s">
        <v>66</v>
      </c>
      <c r="AE312" s="1">
        <v>10</v>
      </c>
      <c r="AH312" s="1">
        <v>0.99999950000000004</v>
      </c>
      <c r="AJ312" s="1">
        <f t="shared" si="51"/>
        <v>4.9999999995886668E-7</v>
      </c>
      <c r="AK312" s="1">
        <f t="shared" si="50"/>
        <v>-14.508657738606486</v>
      </c>
      <c r="AM312">
        <v>40</v>
      </c>
      <c r="AN312">
        <f>IF(ISNUMBER(AJ312),IF(AJ312&gt;=0.05,1,0),"")</f>
        <v>0</v>
      </c>
      <c r="AO312">
        <f>IF(ISNUMBER(AJ312),IF(AJ312&lt;0.005,1,0),"")</f>
        <v>1</v>
      </c>
      <c r="AQ312" s="34"/>
      <c r="AR312" s="35"/>
      <c r="AS312" s="36"/>
    </row>
    <row r="313" spans="1:45" ht="42.75" x14ac:dyDescent="0.45">
      <c r="A313" s="1" t="s">
        <v>74</v>
      </c>
      <c r="B313" s="1" t="s">
        <v>69</v>
      </c>
      <c r="C313" s="1">
        <v>106</v>
      </c>
      <c r="D313" s="1">
        <v>250.28</v>
      </c>
      <c r="E313" s="1">
        <v>-0.1</v>
      </c>
      <c r="F313" s="1">
        <v>1.57</v>
      </c>
      <c r="G313" s="1">
        <v>1.93</v>
      </c>
      <c r="H313" s="1">
        <v>0.87</v>
      </c>
      <c r="I313" s="1">
        <v>0.86</v>
      </c>
      <c r="J313" s="1">
        <v>1.49</v>
      </c>
      <c r="K313" s="1" t="s">
        <v>67</v>
      </c>
      <c r="M313" s="1">
        <v>0.42</v>
      </c>
      <c r="N313" s="1">
        <v>1.1499999999999999</v>
      </c>
      <c r="P313" s="1">
        <v>7.2</v>
      </c>
      <c r="Q313" s="1">
        <v>35.5</v>
      </c>
      <c r="R313" s="1" t="s">
        <v>63</v>
      </c>
      <c r="S313" s="1">
        <v>307.27999999999997</v>
      </c>
      <c r="T313" s="1">
        <v>377</v>
      </c>
      <c r="U313" s="1">
        <v>1.82</v>
      </c>
      <c r="V313" s="1">
        <v>9.4</v>
      </c>
      <c r="W313" s="1">
        <v>0.1</v>
      </c>
      <c r="X313" s="1">
        <f t="shared" si="44"/>
        <v>100</v>
      </c>
      <c r="Y313" s="1">
        <v>3.3000000000000002E-2</v>
      </c>
      <c r="Z313" s="1">
        <v>8.7999999999999995E-2</v>
      </c>
      <c r="AA313" s="1">
        <v>0.97058823529411697</v>
      </c>
      <c r="AB313" s="1">
        <v>10</v>
      </c>
      <c r="AC313" s="1">
        <v>25</v>
      </c>
      <c r="AD313" s="1" t="s">
        <v>66</v>
      </c>
      <c r="AE313" s="1">
        <v>10</v>
      </c>
      <c r="AH313" s="1">
        <v>0.352112676056339</v>
      </c>
      <c r="AI313" s="1">
        <f>-AK318/AA318</f>
        <v>0.39975169218583484</v>
      </c>
      <c r="AJ313" s="1">
        <f t="shared" ref="AJ313" si="54">1-AH313</f>
        <v>0.647887323943661</v>
      </c>
      <c r="AK313" s="1">
        <f t="shared" si="50"/>
        <v>-0.43403848055222194</v>
      </c>
      <c r="AL313" s="1">
        <v>0.39555463455408402</v>
      </c>
      <c r="AM313">
        <v>41</v>
      </c>
      <c r="AN313">
        <f>IF(ISNUMBER(AJ313),IF(AJ313&gt;=0.05,1,0),"")</f>
        <v>1</v>
      </c>
      <c r="AO313">
        <f>IF(ISNUMBER(AJ313),IF(AJ313&lt;0.005,1,0),"")</f>
        <v>0</v>
      </c>
      <c r="AP313">
        <f>IFERROR(MATCH(0,AN313:AN318,0)-1,6)</f>
        <v>5</v>
      </c>
      <c r="AQ313" s="34">
        <f>IF(AP313&lt;3,"n&lt;3",IFERROR(-SLOPE(AK313:INDEX(AK313:AK318,AP313),AA313:INDEX(AA313:AA318,AP313)),"no fit"))</f>
        <v>0.28659982606764622</v>
      </c>
      <c r="AR313" s="35">
        <f>IF(AP313&lt;3,"",IFERROR(RSQ(AK313:INDEX(AK313:AK318,AP313),AA313:INDEX(AA313:AA318,AP313)),"flat"))</f>
        <v>0.9668760857588985</v>
      </c>
      <c r="AS313" s="36">
        <f>IFERROR(AQ313/AI313,"")</f>
        <v>0.7169446225493723</v>
      </c>
    </row>
    <row r="314" spans="1:45" ht="42.75" x14ac:dyDescent="0.45">
      <c r="A314" s="1" t="s">
        <v>74</v>
      </c>
      <c r="B314" s="1" t="s">
        <v>69</v>
      </c>
      <c r="C314" s="1">
        <v>106</v>
      </c>
      <c r="D314" s="1">
        <v>250.28</v>
      </c>
      <c r="E314" s="1">
        <v>-0.1</v>
      </c>
      <c r="F314" s="1">
        <v>1.57</v>
      </c>
      <c r="G314" s="1">
        <v>1.93</v>
      </c>
      <c r="H314" s="1">
        <v>0.87</v>
      </c>
      <c r="I314" s="1">
        <v>0.86</v>
      </c>
      <c r="J314" s="1">
        <v>1.49</v>
      </c>
      <c r="K314" s="1" t="s">
        <v>67</v>
      </c>
      <c r="M314" s="1">
        <v>0.42</v>
      </c>
      <c r="N314" s="1">
        <v>1.1499999999999999</v>
      </c>
      <c r="P314" s="1">
        <v>7.2</v>
      </c>
      <c r="Q314" s="1">
        <v>35.5</v>
      </c>
      <c r="R314" s="1" t="s">
        <v>63</v>
      </c>
      <c r="S314" s="1">
        <v>307.27999999999997</v>
      </c>
      <c r="T314" s="1">
        <v>377</v>
      </c>
      <c r="U314" s="1">
        <v>1.82</v>
      </c>
      <c r="V314" s="1">
        <v>9.4</v>
      </c>
      <c r="W314" s="1">
        <v>0.1</v>
      </c>
      <c r="X314" s="1">
        <f t="shared" si="44"/>
        <v>100</v>
      </c>
      <c r="Y314" s="1">
        <v>3.3000000000000002E-2</v>
      </c>
      <c r="Z314" s="1">
        <v>8.7999999999999995E-2</v>
      </c>
      <c r="AA314" s="1">
        <v>0.97058823529411697</v>
      </c>
      <c r="AB314" s="1">
        <v>10</v>
      </c>
      <c r="AC314" s="1">
        <v>25</v>
      </c>
      <c r="AD314" s="1" t="s">
        <v>66</v>
      </c>
      <c r="AE314" s="1">
        <v>10</v>
      </c>
      <c r="AH314" s="1">
        <v>0.352112676056339</v>
      </c>
      <c r="AJ314" s="1">
        <f t="shared" si="51"/>
        <v>0.647887323943661</v>
      </c>
      <c r="AK314" s="1">
        <f t="shared" si="50"/>
        <v>-0.43403848055222194</v>
      </c>
      <c r="AM314">
        <v>41</v>
      </c>
      <c r="AN314">
        <f>IF(ISNUMBER(AJ314),IF(AJ314&gt;=0.05,1,0),"")</f>
        <v>1</v>
      </c>
      <c r="AO314">
        <f>IF(ISNUMBER(AJ314),IF(AJ314&lt;0.005,1,0),"")</f>
        <v>0</v>
      </c>
      <c r="AQ314" s="34"/>
      <c r="AR314" s="35"/>
      <c r="AS314" s="36"/>
    </row>
    <row r="315" spans="1:45" ht="42.75" x14ac:dyDescent="0.45">
      <c r="A315" s="1" t="s">
        <v>74</v>
      </c>
      <c r="B315" s="1" t="s">
        <v>69</v>
      </c>
      <c r="C315" s="1">
        <v>106</v>
      </c>
      <c r="D315" s="1">
        <v>250.28</v>
      </c>
      <c r="E315" s="1">
        <v>-0.1</v>
      </c>
      <c r="F315" s="1">
        <v>1.57</v>
      </c>
      <c r="G315" s="1">
        <v>1.93</v>
      </c>
      <c r="H315" s="1">
        <v>0.87</v>
      </c>
      <c r="I315" s="1">
        <v>0.86</v>
      </c>
      <c r="J315" s="1">
        <v>1.49</v>
      </c>
      <c r="K315" s="1" t="s">
        <v>67</v>
      </c>
      <c r="M315" s="1">
        <v>0.42</v>
      </c>
      <c r="N315" s="1">
        <v>1.1499999999999999</v>
      </c>
      <c r="P315" s="1">
        <v>7.2</v>
      </c>
      <c r="Q315" s="1">
        <v>35.5</v>
      </c>
      <c r="R315" s="1" t="s">
        <v>63</v>
      </c>
      <c r="S315" s="1">
        <v>307.27999999999997</v>
      </c>
      <c r="T315" s="1">
        <v>377</v>
      </c>
      <c r="U315" s="1">
        <v>1.82</v>
      </c>
      <c r="V315" s="1">
        <v>9.4</v>
      </c>
      <c r="W315" s="1">
        <v>0.1</v>
      </c>
      <c r="X315" s="1">
        <f t="shared" si="44"/>
        <v>100</v>
      </c>
      <c r="Y315" s="1">
        <v>3.3000000000000002E-2</v>
      </c>
      <c r="Z315" s="1">
        <v>8.7999999999999995E-2</v>
      </c>
      <c r="AA315" s="1">
        <v>2.97058823529412</v>
      </c>
      <c r="AB315" s="1">
        <v>10</v>
      </c>
      <c r="AC315" s="1">
        <v>25</v>
      </c>
      <c r="AD315" s="1" t="s">
        <v>66</v>
      </c>
      <c r="AE315" s="1">
        <v>10</v>
      </c>
      <c r="AH315" s="1">
        <v>0.75492957746478906</v>
      </c>
      <c r="AJ315" s="1">
        <f t="shared" si="51"/>
        <v>0.24507042253521094</v>
      </c>
      <c r="AK315" s="1">
        <f t="shared" si="50"/>
        <v>-1.4062096708208334</v>
      </c>
      <c r="AM315">
        <v>41</v>
      </c>
      <c r="AN315">
        <f>IF(ISNUMBER(AJ315),IF(AJ315&gt;=0.05,1,0),"")</f>
        <v>1</v>
      </c>
      <c r="AO315">
        <f>IF(ISNUMBER(AJ315),IF(AJ315&lt;0.005,1,0),"")</f>
        <v>0</v>
      </c>
      <c r="AQ315" s="34"/>
      <c r="AR315" s="35"/>
      <c r="AS315" s="36"/>
    </row>
    <row r="316" spans="1:45" ht="42.75" x14ac:dyDescent="0.45">
      <c r="A316" s="1" t="s">
        <v>74</v>
      </c>
      <c r="B316" s="1" t="s">
        <v>69</v>
      </c>
      <c r="C316" s="1">
        <v>106</v>
      </c>
      <c r="D316" s="1">
        <v>250.28</v>
      </c>
      <c r="E316" s="1">
        <v>-0.1</v>
      </c>
      <c r="F316" s="1">
        <v>1.57</v>
      </c>
      <c r="G316" s="1">
        <v>1.93</v>
      </c>
      <c r="H316" s="1">
        <v>0.87</v>
      </c>
      <c r="I316" s="1">
        <v>0.86</v>
      </c>
      <c r="J316" s="1">
        <v>1.49</v>
      </c>
      <c r="K316" s="1" t="s">
        <v>67</v>
      </c>
      <c r="M316" s="1">
        <v>0.42</v>
      </c>
      <c r="N316" s="1">
        <v>1.1499999999999999</v>
      </c>
      <c r="P316" s="1">
        <v>7.2</v>
      </c>
      <c r="Q316" s="1">
        <v>35.5</v>
      </c>
      <c r="R316" s="1" t="s">
        <v>63</v>
      </c>
      <c r="S316" s="1">
        <v>307.27999999999997</v>
      </c>
      <c r="T316" s="1">
        <v>377</v>
      </c>
      <c r="U316" s="1">
        <v>1.82</v>
      </c>
      <c r="V316" s="1">
        <v>9.4</v>
      </c>
      <c r="W316" s="1">
        <v>0.1</v>
      </c>
      <c r="X316" s="1">
        <f t="shared" si="44"/>
        <v>100</v>
      </c>
      <c r="Y316" s="1">
        <v>3.3000000000000002E-2</v>
      </c>
      <c r="Z316" s="1">
        <v>8.7999999999999995E-2</v>
      </c>
      <c r="AA316" s="1">
        <v>5.9117647058823497</v>
      </c>
      <c r="AB316" s="1">
        <v>10</v>
      </c>
      <c r="AC316" s="1">
        <v>25</v>
      </c>
      <c r="AD316" s="1" t="s">
        <v>66</v>
      </c>
      <c r="AE316" s="1">
        <v>10</v>
      </c>
      <c r="AH316" s="1">
        <v>0.87323943661971903</v>
      </c>
      <c r="AJ316" s="1">
        <f t="shared" si="51"/>
        <v>0.12676056338028097</v>
      </c>
      <c r="AK316" s="1">
        <f t="shared" si="50"/>
        <v>-2.0654552997051017</v>
      </c>
      <c r="AM316">
        <v>41</v>
      </c>
      <c r="AN316">
        <f>IF(ISNUMBER(AJ316),IF(AJ316&gt;=0.05,1,0),"")</f>
        <v>1</v>
      </c>
      <c r="AO316">
        <f>IF(ISNUMBER(AJ316),IF(AJ316&lt;0.005,1,0),"")</f>
        <v>0</v>
      </c>
      <c r="AQ316" s="34"/>
      <c r="AR316" s="35"/>
      <c r="AS316" s="36"/>
    </row>
    <row r="317" spans="1:45" ht="42.75" x14ac:dyDescent="0.45">
      <c r="A317" s="1" t="s">
        <v>74</v>
      </c>
      <c r="B317" s="1" t="s">
        <v>69</v>
      </c>
      <c r="C317" s="1">
        <v>106</v>
      </c>
      <c r="D317" s="1">
        <v>250.28</v>
      </c>
      <c r="E317" s="1">
        <v>-0.1</v>
      </c>
      <c r="F317" s="1">
        <v>1.57</v>
      </c>
      <c r="G317" s="1">
        <v>1.93</v>
      </c>
      <c r="H317" s="1">
        <v>0.87</v>
      </c>
      <c r="I317" s="1">
        <v>0.86</v>
      </c>
      <c r="J317" s="1">
        <v>1.49</v>
      </c>
      <c r="K317" s="1" t="s">
        <v>67</v>
      </c>
      <c r="M317" s="1">
        <v>0.42</v>
      </c>
      <c r="N317" s="1">
        <v>1.1499999999999999</v>
      </c>
      <c r="P317" s="1">
        <v>7.2</v>
      </c>
      <c r="Q317" s="1">
        <v>35.5</v>
      </c>
      <c r="R317" s="1" t="s">
        <v>63</v>
      </c>
      <c r="S317" s="1">
        <v>307.27999999999997</v>
      </c>
      <c r="T317" s="1">
        <v>377</v>
      </c>
      <c r="U317" s="1">
        <v>1.82</v>
      </c>
      <c r="V317" s="1">
        <v>9.4</v>
      </c>
      <c r="W317" s="1">
        <v>0.1</v>
      </c>
      <c r="X317" s="1">
        <f t="shared" si="44"/>
        <v>100</v>
      </c>
      <c r="Y317" s="1">
        <v>3.3000000000000002E-2</v>
      </c>
      <c r="Z317" s="1">
        <v>8.7999999999999995E-2</v>
      </c>
      <c r="AA317" s="1">
        <v>8.8823529411764692</v>
      </c>
      <c r="AB317" s="1">
        <v>10</v>
      </c>
      <c r="AC317" s="1">
        <v>25</v>
      </c>
      <c r="AD317" s="1" t="s">
        <v>66</v>
      </c>
      <c r="AE317" s="1">
        <v>10</v>
      </c>
      <c r="AH317" s="1">
        <v>0.93239436619718308</v>
      </c>
      <c r="AJ317" s="1">
        <f t="shared" si="51"/>
        <v>6.7605633802816922E-2</v>
      </c>
      <c r="AK317" s="1">
        <f t="shared" si="50"/>
        <v>-2.6940639591274698</v>
      </c>
      <c r="AM317">
        <v>41</v>
      </c>
      <c r="AN317">
        <f>IF(ISNUMBER(AJ317),IF(AJ317&gt;=0.05,1,0),"")</f>
        <v>1</v>
      </c>
      <c r="AO317">
        <f>IF(ISNUMBER(AJ317),IF(AJ317&lt;0.005,1,0),"")</f>
        <v>0</v>
      </c>
      <c r="AQ317" s="34"/>
      <c r="AR317" s="35"/>
      <c r="AS317" s="36"/>
    </row>
    <row r="318" spans="1:45" ht="42.75" x14ac:dyDescent="0.45">
      <c r="A318" s="1" t="s">
        <v>74</v>
      </c>
      <c r="B318" s="1" t="s">
        <v>69</v>
      </c>
      <c r="C318" s="1">
        <v>106</v>
      </c>
      <c r="D318" s="1">
        <v>250.28</v>
      </c>
      <c r="E318" s="1">
        <v>-0.1</v>
      </c>
      <c r="F318" s="1">
        <v>1.57</v>
      </c>
      <c r="G318" s="1">
        <v>1.93</v>
      </c>
      <c r="H318" s="1">
        <v>0.87</v>
      </c>
      <c r="I318" s="1">
        <v>0.86</v>
      </c>
      <c r="J318" s="1">
        <v>1.49</v>
      </c>
      <c r="K318" s="1" t="s">
        <v>67</v>
      </c>
      <c r="M318" s="1">
        <v>0.42</v>
      </c>
      <c r="N318" s="1">
        <v>1.1499999999999999</v>
      </c>
      <c r="P318" s="1">
        <v>7.2</v>
      </c>
      <c r="Q318" s="1">
        <v>35.5</v>
      </c>
      <c r="R318" s="1" t="s">
        <v>63</v>
      </c>
      <c r="S318" s="1">
        <v>307.27999999999997</v>
      </c>
      <c r="T318" s="1">
        <v>377</v>
      </c>
      <c r="U318" s="1">
        <v>1.82</v>
      </c>
      <c r="V318" s="1">
        <v>9.4</v>
      </c>
      <c r="W318" s="1">
        <v>0.1</v>
      </c>
      <c r="X318" s="1">
        <f t="shared" si="44"/>
        <v>100</v>
      </c>
      <c r="Y318" s="1">
        <v>3.3000000000000002E-2</v>
      </c>
      <c r="Z318" s="1">
        <v>8.7999999999999995E-2</v>
      </c>
      <c r="AA318" s="1">
        <v>11.9411764705882</v>
      </c>
      <c r="AB318" s="1">
        <v>10</v>
      </c>
      <c r="AC318" s="1">
        <v>25</v>
      </c>
      <c r="AD318" s="1" t="s">
        <v>66</v>
      </c>
      <c r="AE318" s="1">
        <v>10</v>
      </c>
      <c r="AH318" s="1">
        <v>0.9915492957746479</v>
      </c>
      <c r="AJ318" s="1">
        <f t="shared" si="51"/>
        <v>8.4507042253521014E-3</v>
      </c>
      <c r="AK318" s="1">
        <f t="shared" si="50"/>
        <v>-4.7735055008073077</v>
      </c>
      <c r="AM318">
        <v>41</v>
      </c>
      <c r="AN318">
        <f>IF(ISNUMBER(AJ318),IF(AJ318&gt;=0.05,1,0),"")</f>
        <v>0</v>
      </c>
      <c r="AO318">
        <f>IF(ISNUMBER(AJ318),IF(AJ318&lt;0.005,1,0),"")</f>
        <v>0</v>
      </c>
      <c r="AQ318" s="34"/>
      <c r="AR318" s="35"/>
      <c r="AS318" s="36"/>
    </row>
    <row r="319" spans="1:45" ht="42.75" x14ac:dyDescent="0.45">
      <c r="A319" s="1" t="s">
        <v>76</v>
      </c>
      <c r="B319" s="1" t="s">
        <v>69</v>
      </c>
      <c r="C319" s="1">
        <v>106</v>
      </c>
      <c r="D319" s="1">
        <v>250.28</v>
      </c>
      <c r="E319" s="1">
        <v>-0.1</v>
      </c>
      <c r="F319" s="1">
        <v>1.57</v>
      </c>
      <c r="G319" s="1">
        <v>1.93</v>
      </c>
      <c r="H319" s="1">
        <v>0.87</v>
      </c>
      <c r="I319" s="1">
        <v>0.86</v>
      </c>
      <c r="J319" s="1">
        <v>1.49</v>
      </c>
      <c r="K319" s="1" t="s">
        <v>67</v>
      </c>
      <c r="M319" s="1">
        <v>0.42</v>
      </c>
      <c r="N319" s="1">
        <v>1.1499999999999999</v>
      </c>
      <c r="P319" s="1">
        <v>7.2</v>
      </c>
      <c r="Q319" s="1">
        <v>35.5</v>
      </c>
      <c r="R319" s="1" t="s">
        <v>63</v>
      </c>
      <c r="S319" s="1">
        <v>307.27999999999997</v>
      </c>
      <c r="T319" s="1">
        <v>377</v>
      </c>
      <c r="U319" s="1">
        <v>1.82</v>
      </c>
      <c r="V319" s="1">
        <v>9.4</v>
      </c>
      <c r="W319" s="1">
        <v>0.1</v>
      </c>
      <c r="X319" s="1">
        <f t="shared" si="44"/>
        <v>100</v>
      </c>
      <c r="Y319" s="1">
        <v>3.3000000000000002E-2</v>
      </c>
      <c r="Z319" s="1">
        <v>8.0000000000000002E-3</v>
      </c>
      <c r="AA319" s="1">
        <v>0</v>
      </c>
      <c r="AB319" s="1">
        <v>6.8</v>
      </c>
      <c r="AC319" s="1">
        <v>25</v>
      </c>
      <c r="AD319" s="1" t="s">
        <v>75</v>
      </c>
      <c r="AE319" s="1">
        <v>0</v>
      </c>
      <c r="AH319" s="1">
        <v>0</v>
      </c>
      <c r="AI319" s="1">
        <f>-AK324/AA324</f>
        <v>0.17485756652967166</v>
      </c>
      <c r="AJ319" s="1">
        <f t="shared" ref="AJ319" si="55">1-AH319</f>
        <v>1</v>
      </c>
      <c r="AK319" s="1">
        <f t="shared" si="50"/>
        <v>0</v>
      </c>
      <c r="AL319" s="1">
        <v>0.166779537517659</v>
      </c>
      <c r="AM319">
        <v>42</v>
      </c>
      <c r="AN319">
        <f>IF(ISNUMBER(AJ319),IF(AJ319&gt;=0.05,1,0),"")</f>
        <v>1</v>
      </c>
      <c r="AO319">
        <f>IF(ISNUMBER(AJ319),IF(AJ319&lt;0.005,1,0),"")</f>
        <v>0</v>
      </c>
      <c r="AP319">
        <f>IFERROR(MATCH(0,AN319:AN324,0)-1,6)</f>
        <v>6</v>
      </c>
      <c r="AQ319" s="34">
        <f>IF(AP319&lt;3,"n&lt;3",IFERROR(-SLOPE(AK319:INDEX(AK319:AK324,AP319),AA319:INDEX(AA319:AA324,AP319)),"no fit"))</f>
        <v>0.17518550053639054</v>
      </c>
      <c r="AR319" s="35">
        <f>IF(AP319&lt;3,"",IFERROR(RSQ(AK319:INDEX(AK319:AK324,AP319),AA319:INDEX(AA319:AA324,AP319)),"flat"))</f>
        <v>0.92299746759494317</v>
      </c>
      <c r="AS319" s="36">
        <f>IFERROR(AQ319/AI319,"")</f>
        <v>1.0018754350367973</v>
      </c>
    </row>
    <row r="320" spans="1:45" ht="42.75" x14ac:dyDescent="0.45">
      <c r="A320" s="1" t="s">
        <v>76</v>
      </c>
      <c r="B320" s="1" t="s">
        <v>69</v>
      </c>
      <c r="C320" s="1">
        <v>106</v>
      </c>
      <c r="D320" s="1">
        <v>250.28</v>
      </c>
      <c r="E320" s="1">
        <v>-0.1</v>
      </c>
      <c r="F320" s="1">
        <v>1.57</v>
      </c>
      <c r="G320" s="1">
        <v>1.93</v>
      </c>
      <c r="H320" s="1">
        <v>0.87</v>
      </c>
      <c r="I320" s="1">
        <v>0.86</v>
      </c>
      <c r="J320" s="1">
        <v>1.49</v>
      </c>
      <c r="K320" s="1" t="s">
        <v>67</v>
      </c>
      <c r="M320" s="1">
        <v>0.42</v>
      </c>
      <c r="N320" s="1">
        <v>1.1499999999999999</v>
      </c>
      <c r="P320" s="1">
        <v>7.2</v>
      </c>
      <c r="Q320" s="1">
        <v>35.5</v>
      </c>
      <c r="R320" s="1" t="s">
        <v>63</v>
      </c>
      <c r="S320" s="1">
        <v>307.27999999999997</v>
      </c>
      <c r="T320" s="1">
        <v>377</v>
      </c>
      <c r="U320" s="1">
        <v>1.82</v>
      </c>
      <c r="V320" s="1">
        <v>9.4</v>
      </c>
      <c r="W320" s="1">
        <v>0.1</v>
      </c>
      <c r="X320" s="1">
        <f t="shared" si="44"/>
        <v>100</v>
      </c>
      <c r="Y320" s="1">
        <v>3.3000000000000002E-2</v>
      </c>
      <c r="Z320" s="1">
        <v>8.0000000000000002E-3</v>
      </c>
      <c r="AA320" s="1">
        <v>0.85405088842016197</v>
      </c>
      <c r="AB320" s="1">
        <v>6.8</v>
      </c>
      <c r="AC320" s="1">
        <v>25</v>
      </c>
      <c r="AD320" s="1" t="s">
        <v>75</v>
      </c>
      <c r="AE320" s="1">
        <v>0</v>
      </c>
      <c r="AH320" s="1">
        <v>0.20848029889377595</v>
      </c>
      <c r="AJ320" s="1">
        <f t="shared" si="51"/>
        <v>0.79151970110622405</v>
      </c>
      <c r="AK320" s="1">
        <f t="shared" si="50"/>
        <v>-0.23380050912280173</v>
      </c>
      <c r="AM320">
        <v>42</v>
      </c>
      <c r="AN320">
        <f>IF(ISNUMBER(AJ320),IF(AJ320&gt;=0.05,1,0),"")</f>
        <v>1</v>
      </c>
      <c r="AO320">
        <f>IF(ISNUMBER(AJ320),IF(AJ320&lt;0.005,1,0),"")</f>
        <v>0</v>
      </c>
      <c r="AQ320" s="34"/>
      <c r="AR320" s="35"/>
      <c r="AS320" s="36"/>
    </row>
    <row r="321" spans="1:45" ht="42.75" x14ac:dyDescent="0.45">
      <c r="A321" s="1" t="s">
        <v>76</v>
      </c>
      <c r="B321" s="1" t="s">
        <v>69</v>
      </c>
      <c r="C321" s="1">
        <v>106</v>
      </c>
      <c r="D321" s="1">
        <v>250.28</v>
      </c>
      <c r="E321" s="1">
        <v>-0.1</v>
      </c>
      <c r="F321" s="1">
        <v>1.57</v>
      </c>
      <c r="G321" s="1">
        <v>1.93</v>
      </c>
      <c r="H321" s="1">
        <v>0.87</v>
      </c>
      <c r="I321" s="1">
        <v>0.86</v>
      </c>
      <c r="J321" s="1">
        <v>1.49</v>
      </c>
      <c r="K321" s="1" t="s">
        <v>67</v>
      </c>
      <c r="M321" s="1">
        <v>0.42</v>
      </c>
      <c r="N321" s="1">
        <v>1.1499999999999999</v>
      </c>
      <c r="P321" s="1">
        <v>7.2</v>
      </c>
      <c r="Q321" s="1">
        <v>35.5</v>
      </c>
      <c r="R321" s="1" t="s">
        <v>63</v>
      </c>
      <c r="S321" s="1">
        <v>307.27999999999997</v>
      </c>
      <c r="T321" s="1">
        <v>377</v>
      </c>
      <c r="U321" s="1">
        <v>1.82</v>
      </c>
      <c r="V321" s="1">
        <v>9.4</v>
      </c>
      <c r="W321" s="1">
        <v>0.1</v>
      </c>
      <c r="X321" s="1">
        <f t="shared" si="44"/>
        <v>100</v>
      </c>
      <c r="Y321" s="1">
        <v>3.3000000000000002E-2</v>
      </c>
      <c r="Z321" s="1">
        <v>8.0000000000000002E-3</v>
      </c>
      <c r="AA321" s="1">
        <v>2.7594947370673899</v>
      </c>
      <c r="AB321" s="1">
        <v>6.8</v>
      </c>
      <c r="AC321" s="1">
        <v>25</v>
      </c>
      <c r="AD321" s="1" t="s">
        <v>75</v>
      </c>
      <c r="AE321" s="1">
        <v>0</v>
      </c>
      <c r="AH321" s="1">
        <v>0.62382359639452201</v>
      </c>
      <c r="AJ321" s="1">
        <f t="shared" si="51"/>
        <v>0.37617640360547799</v>
      </c>
      <c r="AK321" s="1">
        <f t="shared" si="50"/>
        <v>-0.97769708708748604</v>
      </c>
      <c r="AM321">
        <v>42</v>
      </c>
      <c r="AN321">
        <f>IF(ISNUMBER(AJ321),IF(AJ321&gt;=0.05,1,0),"")</f>
        <v>1</v>
      </c>
      <c r="AO321">
        <f>IF(ISNUMBER(AJ321),IF(AJ321&lt;0.005,1,0),"")</f>
        <v>0</v>
      </c>
      <c r="AQ321" s="34"/>
      <c r="AR321" s="35"/>
      <c r="AS321" s="36"/>
    </row>
    <row r="322" spans="1:45" ht="42.75" x14ac:dyDescent="0.45">
      <c r="A322" s="1" t="s">
        <v>76</v>
      </c>
      <c r="B322" s="1" t="s">
        <v>69</v>
      </c>
      <c r="C322" s="1">
        <v>106</v>
      </c>
      <c r="D322" s="1">
        <v>250.28</v>
      </c>
      <c r="E322" s="1">
        <v>-0.1</v>
      </c>
      <c r="F322" s="1">
        <v>1.57</v>
      </c>
      <c r="G322" s="1">
        <v>1.93</v>
      </c>
      <c r="H322" s="1">
        <v>0.87</v>
      </c>
      <c r="I322" s="1">
        <v>0.86</v>
      </c>
      <c r="J322" s="1">
        <v>1.49</v>
      </c>
      <c r="K322" s="1" t="s">
        <v>67</v>
      </c>
      <c r="M322" s="1">
        <v>0.42</v>
      </c>
      <c r="N322" s="1">
        <v>1.1499999999999999</v>
      </c>
      <c r="P322" s="1">
        <v>7.2</v>
      </c>
      <c r="Q322" s="1">
        <v>35.5</v>
      </c>
      <c r="R322" s="1" t="s">
        <v>63</v>
      </c>
      <c r="S322" s="1">
        <v>307.27999999999997</v>
      </c>
      <c r="T322" s="1">
        <v>377</v>
      </c>
      <c r="U322" s="1">
        <v>1.82</v>
      </c>
      <c r="V322" s="1">
        <v>9.4</v>
      </c>
      <c r="W322" s="1">
        <v>0.1</v>
      </c>
      <c r="X322" s="1">
        <f t="shared" si="44"/>
        <v>100</v>
      </c>
      <c r="Y322" s="1">
        <v>3.3000000000000002E-2</v>
      </c>
      <c r="Z322" s="1">
        <v>8.0000000000000002E-3</v>
      </c>
      <c r="AA322" s="1">
        <v>5.6737029761749298</v>
      </c>
      <c r="AB322" s="1">
        <v>6.8</v>
      </c>
      <c r="AC322" s="1">
        <v>25</v>
      </c>
      <c r="AD322" s="1" t="s">
        <v>75</v>
      </c>
      <c r="AE322" s="1">
        <v>0</v>
      </c>
      <c r="AH322" s="1">
        <v>0.76741811932228898</v>
      </c>
      <c r="AJ322" s="1">
        <f t="shared" si="51"/>
        <v>0.23258188067771102</v>
      </c>
      <c r="AK322" s="1">
        <f t="shared" si="50"/>
        <v>-1.4585129409958737</v>
      </c>
      <c r="AM322">
        <v>42</v>
      </c>
      <c r="AN322">
        <f>IF(ISNUMBER(AJ322),IF(AJ322&gt;=0.05,1,0),"")</f>
        <v>1</v>
      </c>
      <c r="AO322">
        <f>IF(ISNUMBER(AJ322),IF(AJ322&lt;0.005,1,0),"")</f>
        <v>0</v>
      </c>
      <c r="AQ322" s="34"/>
      <c r="AR322" s="35"/>
      <c r="AS322" s="36"/>
    </row>
    <row r="323" spans="1:45" ht="42.75" x14ac:dyDescent="0.45">
      <c r="A323" s="1" t="s">
        <v>76</v>
      </c>
      <c r="B323" s="1" t="s">
        <v>69</v>
      </c>
      <c r="C323" s="1">
        <v>106</v>
      </c>
      <c r="D323" s="1">
        <v>250.28</v>
      </c>
      <c r="E323" s="1">
        <v>-0.1</v>
      </c>
      <c r="F323" s="1">
        <v>1.57</v>
      </c>
      <c r="G323" s="1">
        <v>1.93</v>
      </c>
      <c r="H323" s="1">
        <v>0.87</v>
      </c>
      <c r="I323" s="1">
        <v>0.86</v>
      </c>
      <c r="J323" s="1">
        <v>1.49</v>
      </c>
      <c r="K323" s="1" t="s">
        <v>67</v>
      </c>
      <c r="M323" s="1">
        <v>0.42</v>
      </c>
      <c r="N323" s="1">
        <v>1.1499999999999999</v>
      </c>
      <c r="P323" s="1">
        <v>7.2</v>
      </c>
      <c r="Q323" s="1">
        <v>35.5</v>
      </c>
      <c r="R323" s="1" t="s">
        <v>63</v>
      </c>
      <c r="S323" s="1">
        <v>307.27999999999997</v>
      </c>
      <c r="T323" s="1">
        <v>377</v>
      </c>
      <c r="U323" s="1">
        <v>1.82</v>
      </c>
      <c r="V323" s="1">
        <v>9.4</v>
      </c>
      <c r="W323" s="1">
        <v>0.1</v>
      </c>
      <c r="X323" s="1">
        <f t="shared" si="44"/>
        <v>100</v>
      </c>
      <c r="Y323" s="1">
        <v>3.3000000000000002E-2</v>
      </c>
      <c r="Z323" s="1">
        <v>8.0000000000000002E-3</v>
      </c>
      <c r="AA323" s="1">
        <v>8.50785054937292</v>
      </c>
      <c r="AB323" s="1">
        <v>6.8</v>
      </c>
      <c r="AC323" s="1">
        <v>25</v>
      </c>
      <c r="AD323" s="1" t="s">
        <v>75</v>
      </c>
      <c r="AE323" s="1">
        <v>0</v>
      </c>
      <c r="AH323" s="1">
        <v>0.82917920445251103</v>
      </c>
      <c r="AJ323" s="1">
        <f t="shared" si="51"/>
        <v>0.17082079554748897</v>
      </c>
      <c r="AK323" s="1">
        <f t="shared" si="50"/>
        <v>-1.7671402512481398</v>
      </c>
      <c r="AM323">
        <v>42</v>
      </c>
      <c r="AN323">
        <f>IF(ISNUMBER(AJ323),IF(AJ323&gt;=0.05,1,0),"")</f>
        <v>1</v>
      </c>
      <c r="AO323">
        <f>IF(ISNUMBER(AJ323),IF(AJ323&lt;0.005,1,0),"")</f>
        <v>0</v>
      </c>
      <c r="AQ323" s="34"/>
      <c r="AR323" s="35"/>
      <c r="AS323" s="36"/>
    </row>
    <row r="324" spans="1:45" ht="42.75" x14ac:dyDescent="0.45">
      <c r="A324" s="1" t="s">
        <v>76</v>
      </c>
      <c r="B324" s="1" t="s">
        <v>69</v>
      </c>
      <c r="C324" s="1">
        <v>106</v>
      </c>
      <c r="D324" s="1">
        <v>250.28</v>
      </c>
      <c r="E324" s="1">
        <v>-0.1</v>
      </c>
      <c r="F324" s="1">
        <v>1.57</v>
      </c>
      <c r="G324" s="1">
        <v>1.93</v>
      </c>
      <c r="H324" s="1">
        <v>0.87</v>
      </c>
      <c r="I324" s="1">
        <v>0.86</v>
      </c>
      <c r="J324" s="1">
        <v>1.49</v>
      </c>
      <c r="K324" s="1" t="s">
        <v>67</v>
      </c>
      <c r="M324" s="1">
        <v>0.42</v>
      </c>
      <c r="N324" s="1">
        <v>1.1499999999999999</v>
      </c>
      <c r="P324" s="1">
        <v>7.2</v>
      </c>
      <c r="Q324" s="1">
        <v>35.5</v>
      </c>
      <c r="R324" s="1" t="s">
        <v>63</v>
      </c>
      <c r="S324" s="1">
        <v>307.27999999999997</v>
      </c>
      <c r="T324" s="1">
        <v>377</v>
      </c>
      <c r="U324" s="1">
        <v>1.82</v>
      </c>
      <c r="V324" s="1">
        <v>9.4</v>
      </c>
      <c r="W324" s="1">
        <v>0.1</v>
      </c>
      <c r="X324" s="1">
        <f t="shared" ref="X324:X387" si="56">W324*1000</f>
        <v>100</v>
      </c>
      <c r="Y324" s="1">
        <v>3.3000000000000002E-2</v>
      </c>
      <c r="Z324" s="1">
        <v>8.0000000000000002E-3</v>
      </c>
      <c r="AA324" s="1">
        <v>11.309973856207</v>
      </c>
      <c r="AB324" s="1">
        <v>6.8</v>
      </c>
      <c r="AC324" s="1">
        <v>25</v>
      </c>
      <c r="AD324" s="1" t="s">
        <v>75</v>
      </c>
      <c r="AE324" s="1">
        <v>0</v>
      </c>
      <c r="AH324" s="1">
        <v>0.86160377414587896</v>
      </c>
      <c r="AJ324" s="1">
        <f t="shared" si="51"/>
        <v>0.13839622585412104</v>
      </c>
      <c r="AK324" s="1">
        <f t="shared" si="50"/>
        <v>-1.9776345060105627</v>
      </c>
      <c r="AM324">
        <v>42</v>
      </c>
      <c r="AN324">
        <f>IF(ISNUMBER(AJ324),IF(AJ324&gt;=0.05,1,0),"")</f>
        <v>1</v>
      </c>
      <c r="AO324">
        <f>IF(ISNUMBER(AJ324),IF(AJ324&lt;0.005,1,0),"")</f>
        <v>0</v>
      </c>
      <c r="AQ324" s="34"/>
      <c r="AR324" s="35"/>
      <c r="AS324" s="36"/>
    </row>
    <row r="325" spans="1:45" ht="42.75" x14ac:dyDescent="0.45">
      <c r="A325" s="1" t="s">
        <v>76</v>
      </c>
      <c r="B325" s="1" t="s">
        <v>69</v>
      </c>
      <c r="C325" s="1">
        <v>106</v>
      </c>
      <c r="D325" s="1">
        <v>250.28</v>
      </c>
      <c r="E325" s="1">
        <v>-0.1</v>
      </c>
      <c r="F325" s="1">
        <v>1.57</v>
      </c>
      <c r="G325" s="1">
        <v>1.93</v>
      </c>
      <c r="H325" s="1">
        <v>0.87</v>
      </c>
      <c r="I325" s="1">
        <v>0.86</v>
      </c>
      <c r="J325" s="1">
        <v>1.49</v>
      </c>
      <c r="K325" s="1" t="s">
        <v>67</v>
      </c>
      <c r="M325" s="1">
        <v>0.42</v>
      </c>
      <c r="N325" s="1">
        <v>1.1499999999999999</v>
      </c>
      <c r="P325" s="1">
        <v>7.2</v>
      </c>
      <c r="Q325" s="1">
        <v>35.5</v>
      </c>
      <c r="R325" s="1" t="s">
        <v>63</v>
      </c>
      <c r="S325" s="1">
        <v>307.27999999999997</v>
      </c>
      <c r="T325" s="1">
        <v>377</v>
      </c>
      <c r="U325" s="1">
        <v>1.82</v>
      </c>
      <c r="V325" s="1">
        <v>9.4</v>
      </c>
      <c r="W325" s="1">
        <v>0.1</v>
      </c>
      <c r="X325" s="1">
        <f t="shared" si="56"/>
        <v>100</v>
      </c>
      <c r="Y325" s="1">
        <v>3.3000000000000002E-2</v>
      </c>
      <c r="Z325" s="1">
        <v>8.0000000000000002E-3</v>
      </c>
      <c r="AA325" s="1">
        <v>0.92048223469111701</v>
      </c>
      <c r="AB325" s="1">
        <v>6.8</v>
      </c>
      <c r="AC325" s="1">
        <v>25</v>
      </c>
      <c r="AD325" s="1" t="s">
        <v>75</v>
      </c>
      <c r="AE325" s="1">
        <v>0.1</v>
      </c>
      <c r="AH325" s="1">
        <v>0</v>
      </c>
      <c r="AI325" s="1">
        <f>-AK330/AA330</f>
        <v>0.16660826816548679</v>
      </c>
      <c r="AJ325" s="1">
        <f t="shared" ref="AJ325" si="57">1-AH325</f>
        <v>1</v>
      </c>
      <c r="AK325" s="1">
        <f t="shared" si="50"/>
        <v>0</v>
      </c>
      <c r="AL325" s="1">
        <v>0.16578403884290199</v>
      </c>
      <c r="AM325">
        <v>43</v>
      </c>
      <c r="AN325">
        <f>IF(ISNUMBER(AJ325),IF(AJ325&gt;=0.05,1,0),"")</f>
        <v>1</v>
      </c>
      <c r="AO325">
        <f>IF(ISNUMBER(AJ325),IF(AJ325&lt;0.005,1,0),"")</f>
        <v>0</v>
      </c>
      <c r="AP325">
        <f>IFERROR(MATCH(0,AN325:AN330,0)-1,6)</f>
        <v>6</v>
      </c>
      <c r="AQ325" s="34">
        <f>IF(AP325&lt;3,"n&lt;3",IFERROR(-SLOPE(AK325:INDEX(AK325:AK330,AP325),AA325:INDEX(AA325:AA330,AP325)),"no fit"))</f>
        <v>0.1727086720635313</v>
      </c>
      <c r="AR325" s="35">
        <f>IF(AP325&lt;3,"",IFERROR(RSQ(AK325:INDEX(AK325:AK330,AP325),AA325:INDEX(AA325:AA330,AP325)),"flat"))</f>
        <v>0.90746871360089332</v>
      </c>
      <c r="AS325" s="36">
        <f>IFERROR(AQ325/AI325,"")</f>
        <v>1.0366152530436554</v>
      </c>
    </row>
    <row r="326" spans="1:45" ht="42.75" x14ac:dyDescent="0.45">
      <c r="A326" s="1" t="s">
        <v>76</v>
      </c>
      <c r="B326" s="1" t="s">
        <v>69</v>
      </c>
      <c r="C326" s="1">
        <v>106</v>
      </c>
      <c r="D326" s="1">
        <v>250.28</v>
      </c>
      <c r="E326" s="1">
        <v>-0.1</v>
      </c>
      <c r="F326" s="1">
        <v>1.57</v>
      </c>
      <c r="G326" s="1">
        <v>1.93</v>
      </c>
      <c r="H326" s="1">
        <v>0.87</v>
      </c>
      <c r="I326" s="1">
        <v>0.86</v>
      </c>
      <c r="J326" s="1">
        <v>1.49</v>
      </c>
      <c r="K326" s="1" t="s">
        <v>67</v>
      </c>
      <c r="M326" s="1">
        <v>0.42</v>
      </c>
      <c r="N326" s="1">
        <v>1.1499999999999999</v>
      </c>
      <c r="P326" s="1">
        <v>7.2</v>
      </c>
      <c r="Q326" s="1">
        <v>35.5</v>
      </c>
      <c r="R326" s="1" t="s">
        <v>63</v>
      </c>
      <c r="S326" s="1">
        <v>307.27999999999997</v>
      </c>
      <c r="T326" s="1">
        <v>377</v>
      </c>
      <c r="U326" s="1">
        <v>1.82</v>
      </c>
      <c r="V326" s="1">
        <v>9.4</v>
      </c>
      <c r="W326" s="1">
        <v>0.1</v>
      </c>
      <c r="X326" s="1">
        <f t="shared" si="56"/>
        <v>100</v>
      </c>
      <c r="Y326" s="1">
        <v>3.3000000000000002E-2</v>
      </c>
      <c r="Z326" s="1">
        <v>8.0000000000000002E-3</v>
      </c>
      <c r="AA326" s="1">
        <v>0.92048223469111701</v>
      </c>
      <c r="AB326" s="1">
        <v>6.8</v>
      </c>
      <c r="AC326" s="1">
        <v>25</v>
      </c>
      <c r="AD326" s="1" t="s">
        <v>75</v>
      </c>
      <c r="AE326" s="1">
        <v>0.1</v>
      </c>
      <c r="AH326" s="1">
        <v>0.14948682329679996</v>
      </c>
      <c r="AJ326" s="1">
        <f t="shared" si="51"/>
        <v>0.85051317670320004</v>
      </c>
      <c r="AK326" s="1">
        <f t="shared" si="50"/>
        <v>-0.16191537437593431</v>
      </c>
      <c r="AM326">
        <v>43</v>
      </c>
      <c r="AN326">
        <f>IF(ISNUMBER(AJ326),IF(AJ326&gt;=0.05,1,0),"")</f>
        <v>1</v>
      </c>
      <c r="AO326">
        <f>IF(ISNUMBER(AJ326),IF(AJ326&lt;0.005,1,0),"")</f>
        <v>0</v>
      </c>
      <c r="AQ326" s="34"/>
      <c r="AR326" s="35"/>
      <c r="AS326" s="36"/>
    </row>
    <row r="327" spans="1:45" ht="42.75" x14ac:dyDescent="0.45">
      <c r="A327" s="1" t="s">
        <v>76</v>
      </c>
      <c r="B327" s="1" t="s">
        <v>69</v>
      </c>
      <c r="C327" s="1">
        <v>106</v>
      </c>
      <c r="D327" s="1">
        <v>250.28</v>
      </c>
      <c r="E327" s="1">
        <v>-0.1</v>
      </c>
      <c r="F327" s="1">
        <v>1.57</v>
      </c>
      <c r="G327" s="1">
        <v>1.93</v>
      </c>
      <c r="H327" s="1">
        <v>0.87</v>
      </c>
      <c r="I327" s="1">
        <v>0.86</v>
      </c>
      <c r="J327" s="1">
        <v>1.49</v>
      </c>
      <c r="K327" s="1" t="s">
        <v>67</v>
      </c>
      <c r="M327" s="1">
        <v>0.42</v>
      </c>
      <c r="N327" s="1">
        <v>1.1499999999999999</v>
      </c>
      <c r="P327" s="1">
        <v>7.2</v>
      </c>
      <c r="Q327" s="1">
        <v>35.5</v>
      </c>
      <c r="R327" s="1" t="s">
        <v>63</v>
      </c>
      <c r="S327" s="1">
        <v>307.27999999999997</v>
      </c>
      <c r="T327" s="1">
        <v>377</v>
      </c>
      <c r="U327" s="1">
        <v>1.82</v>
      </c>
      <c r="V327" s="1">
        <v>9.4</v>
      </c>
      <c r="W327" s="1">
        <v>0.1</v>
      </c>
      <c r="X327" s="1">
        <f t="shared" si="56"/>
        <v>100</v>
      </c>
      <c r="Y327" s="1">
        <v>3.3000000000000002E-2</v>
      </c>
      <c r="Z327" s="1">
        <v>8.0000000000000002E-3</v>
      </c>
      <c r="AA327" s="1">
        <v>2.8531426666718098</v>
      </c>
      <c r="AB327" s="1">
        <v>6.8</v>
      </c>
      <c r="AC327" s="1">
        <v>25</v>
      </c>
      <c r="AD327" s="1" t="s">
        <v>75</v>
      </c>
      <c r="AE327" s="1">
        <v>0.1</v>
      </c>
      <c r="AH327" s="1">
        <v>0.60283219067814697</v>
      </c>
      <c r="AJ327" s="1">
        <f t="shared" si="51"/>
        <v>0.39716780932185303</v>
      </c>
      <c r="AK327" s="1">
        <f t="shared" si="50"/>
        <v>-0.9233963940987534</v>
      </c>
      <c r="AM327">
        <v>43</v>
      </c>
      <c r="AN327">
        <f>IF(ISNUMBER(AJ327),IF(AJ327&gt;=0.05,1,0),"")</f>
        <v>1</v>
      </c>
      <c r="AO327">
        <f>IF(ISNUMBER(AJ327),IF(AJ327&lt;0.005,1,0),"")</f>
        <v>0</v>
      </c>
      <c r="AQ327" s="34"/>
      <c r="AR327" s="35"/>
      <c r="AS327" s="36"/>
    </row>
    <row r="328" spans="1:45" ht="42.75" x14ac:dyDescent="0.45">
      <c r="A328" s="1" t="s">
        <v>76</v>
      </c>
      <c r="B328" s="1" t="s">
        <v>69</v>
      </c>
      <c r="C328" s="1">
        <v>106</v>
      </c>
      <c r="D328" s="1">
        <v>250.28</v>
      </c>
      <c r="E328" s="1">
        <v>-0.1</v>
      </c>
      <c r="F328" s="1">
        <v>1.57</v>
      </c>
      <c r="G328" s="1">
        <v>1.93</v>
      </c>
      <c r="H328" s="1">
        <v>0.87</v>
      </c>
      <c r="I328" s="1">
        <v>0.86</v>
      </c>
      <c r="J328" s="1">
        <v>1.49</v>
      </c>
      <c r="K328" s="1" t="s">
        <v>67</v>
      </c>
      <c r="M328" s="1">
        <v>0.42</v>
      </c>
      <c r="N328" s="1">
        <v>1.1499999999999999</v>
      </c>
      <c r="P328" s="1">
        <v>7.2</v>
      </c>
      <c r="Q328" s="1">
        <v>35.5</v>
      </c>
      <c r="R328" s="1" t="s">
        <v>63</v>
      </c>
      <c r="S328" s="1">
        <v>307.27999999999997</v>
      </c>
      <c r="T328" s="1">
        <v>377</v>
      </c>
      <c r="U328" s="1">
        <v>1.82</v>
      </c>
      <c r="V328" s="1">
        <v>9.4</v>
      </c>
      <c r="W328" s="1">
        <v>0.1</v>
      </c>
      <c r="X328" s="1">
        <f t="shared" si="56"/>
        <v>100</v>
      </c>
      <c r="Y328" s="1">
        <v>3.3000000000000002E-2</v>
      </c>
      <c r="Z328" s="1">
        <v>8.0000000000000002E-3</v>
      </c>
      <c r="AA328" s="1">
        <v>5.6326992430036098</v>
      </c>
      <c r="AB328" s="1">
        <v>6.8</v>
      </c>
      <c r="AC328" s="1">
        <v>25</v>
      </c>
      <c r="AD328" s="1" t="s">
        <v>75</v>
      </c>
      <c r="AE328" s="1">
        <v>0.1</v>
      </c>
      <c r="AH328" s="1">
        <v>0.73161159065021497</v>
      </c>
      <c r="AJ328" s="1">
        <f t="shared" si="51"/>
        <v>0.26838840934978503</v>
      </c>
      <c r="AK328" s="1">
        <f t="shared" si="50"/>
        <v>-1.3153200590578178</v>
      </c>
      <c r="AM328">
        <v>43</v>
      </c>
      <c r="AN328">
        <f>IF(ISNUMBER(AJ328),IF(AJ328&gt;=0.05,1,0),"")</f>
        <v>1</v>
      </c>
      <c r="AO328">
        <f>IF(ISNUMBER(AJ328),IF(AJ328&lt;0.005,1,0),"")</f>
        <v>0</v>
      </c>
      <c r="AQ328" s="34"/>
      <c r="AR328" s="35"/>
      <c r="AS328" s="36"/>
    </row>
    <row r="329" spans="1:45" ht="42.75" x14ac:dyDescent="0.45">
      <c r="A329" s="1" t="s">
        <v>76</v>
      </c>
      <c r="B329" s="1" t="s">
        <v>69</v>
      </c>
      <c r="C329" s="1">
        <v>106</v>
      </c>
      <c r="D329" s="1">
        <v>250.28</v>
      </c>
      <c r="E329" s="1">
        <v>-0.1</v>
      </c>
      <c r="F329" s="1">
        <v>1.57</v>
      </c>
      <c r="G329" s="1">
        <v>1.93</v>
      </c>
      <c r="H329" s="1">
        <v>0.87</v>
      </c>
      <c r="I329" s="1">
        <v>0.86</v>
      </c>
      <c r="J329" s="1">
        <v>1.49</v>
      </c>
      <c r="K329" s="1" t="s">
        <v>67</v>
      </c>
      <c r="M329" s="1">
        <v>0.42</v>
      </c>
      <c r="N329" s="1">
        <v>1.1499999999999999</v>
      </c>
      <c r="P329" s="1">
        <v>7.2</v>
      </c>
      <c r="Q329" s="1">
        <v>35.5</v>
      </c>
      <c r="R329" s="1" t="s">
        <v>63</v>
      </c>
      <c r="S329" s="1">
        <v>307.27999999999997</v>
      </c>
      <c r="T329" s="1">
        <v>377</v>
      </c>
      <c r="U329" s="1">
        <v>1.82</v>
      </c>
      <c r="V329" s="1">
        <v>9.4</v>
      </c>
      <c r="W329" s="1">
        <v>0.1</v>
      </c>
      <c r="X329" s="1">
        <f t="shared" si="56"/>
        <v>100</v>
      </c>
      <c r="Y329" s="1">
        <v>3.3000000000000002E-2</v>
      </c>
      <c r="Z329" s="1">
        <v>8.0000000000000002E-3</v>
      </c>
      <c r="AA329" s="1">
        <v>8.4774016765931801</v>
      </c>
      <c r="AB329" s="1">
        <v>6.8</v>
      </c>
      <c r="AC329" s="1">
        <v>25</v>
      </c>
      <c r="AD329" s="1" t="s">
        <v>75</v>
      </c>
      <c r="AE329" s="1">
        <v>0.1</v>
      </c>
      <c r="AH329" s="1">
        <v>0.80071273209864202</v>
      </c>
      <c r="AJ329" s="1">
        <f t="shared" si="51"/>
        <v>0.19928726790135798</v>
      </c>
      <c r="AK329" s="1">
        <f t="shared" si="50"/>
        <v>-1.6130079378915796</v>
      </c>
      <c r="AM329">
        <v>43</v>
      </c>
      <c r="AN329">
        <f>IF(ISNUMBER(AJ329),IF(AJ329&gt;=0.05,1,0),"")</f>
        <v>1</v>
      </c>
      <c r="AO329">
        <f>IF(ISNUMBER(AJ329),IF(AJ329&lt;0.005,1,0),"")</f>
        <v>0</v>
      </c>
      <c r="AQ329" s="34"/>
      <c r="AR329" s="35"/>
      <c r="AS329" s="36"/>
    </row>
    <row r="330" spans="1:45" ht="42.75" x14ac:dyDescent="0.45">
      <c r="A330" s="1" t="s">
        <v>76</v>
      </c>
      <c r="B330" s="1" t="s">
        <v>69</v>
      </c>
      <c r="C330" s="1">
        <v>106</v>
      </c>
      <c r="D330" s="1">
        <v>250.28</v>
      </c>
      <c r="E330" s="1">
        <v>-0.1</v>
      </c>
      <c r="F330" s="1">
        <v>1.57</v>
      </c>
      <c r="G330" s="1">
        <v>1.93</v>
      </c>
      <c r="H330" s="1">
        <v>0.87</v>
      </c>
      <c r="I330" s="1">
        <v>0.86</v>
      </c>
      <c r="J330" s="1">
        <v>1.49</v>
      </c>
      <c r="K330" s="1" t="s">
        <v>67</v>
      </c>
      <c r="M330" s="1">
        <v>0.42</v>
      </c>
      <c r="N330" s="1">
        <v>1.1499999999999999</v>
      </c>
      <c r="P330" s="1">
        <v>7.2</v>
      </c>
      <c r="Q330" s="1">
        <v>35.5</v>
      </c>
      <c r="R330" s="1" t="s">
        <v>63</v>
      </c>
      <c r="S330" s="1">
        <v>307.27999999999997</v>
      </c>
      <c r="T330" s="1">
        <v>377</v>
      </c>
      <c r="U330" s="1">
        <v>1.82</v>
      </c>
      <c r="V330" s="1">
        <v>9.4</v>
      </c>
      <c r="W330" s="1">
        <v>0.1</v>
      </c>
      <c r="X330" s="1">
        <f t="shared" si="56"/>
        <v>100</v>
      </c>
      <c r="Y330" s="1">
        <v>3.3000000000000002E-2</v>
      </c>
      <c r="Z330" s="1">
        <v>8.0000000000000002E-3</v>
      </c>
      <c r="AA330" s="1">
        <v>11.300388824430099</v>
      </c>
      <c r="AB330" s="1">
        <v>6.8</v>
      </c>
      <c r="AC330" s="1">
        <v>25</v>
      </c>
      <c r="AD330" s="1" t="s">
        <v>75</v>
      </c>
      <c r="AE330" s="1">
        <v>0.1</v>
      </c>
      <c r="AH330" s="1">
        <v>0.84782714672256998</v>
      </c>
      <c r="AJ330" s="1">
        <f t="shared" si="51"/>
        <v>0.15217285327743002</v>
      </c>
      <c r="AK330" s="1">
        <f t="shared" si="50"/>
        <v>-1.8827382116349201</v>
      </c>
      <c r="AM330">
        <v>43</v>
      </c>
      <c r="AN330">
        <f>IF(ISNUMBER(AJ330),IF(AJ330&gt;=0.05,1,0),"")</f>
        <v>1</v>
      </c>
      <c r="AO330">
        <f>IF(ISNUMBER(AJ330),IF(AJ330&lt;0.005,1,0),"")</f>
        <v>0</v>
      </c>
      <c r="AQ330" s="34"/>
      <c r="AR330" s="35"/>
      <c r="AS330" s="36"/>
    </row>
    <row r="331" spans="1:45" ht="42.75" x14ac:dyDescent="0.45">
      <c r="A331" s="1" t="s">
        <v>76</v>
      </c>
      <c r="B331" s="1" t="s">
        <v>69</v>
      </c>
      <c r="C331" s="1">
        <v>106</v>
      </c>
      <c r="D331" s="1">
        <v>250.28</v>
      </c>
      <c r="E331" s="1">
        <v>-0.1</v>
      </c>
      <c r="F331" s="1">
        <v>1.57</v>
      </c>
      <c r="G331" s="1">
        <v>1.93</v>
      </c>
      <c r="H331" s="1">
        <v>0.87</v>
      </c>
      <c r="I331" s="1">
        <v>0.86</v>
      </c>
      <c r="J331" s="1">
        <v>1.49</v>
      </c>
      <c r="K331" s="1" t="s">
        <v>67</v>
      </c>
      <c r="M331" s="1">
        <v>0.42</v>
      </c>
      <c r="N331" s="1">
        <v>1.1499999999999999</v>
      </c>
      <c r="P331" s="1">
        <v>7.2</v>
      </c>
      <c r="Q331" s="1">
        <v>35.5</v>
      </c>
      <c r="R331" s="1" t="s">
        <v>63</v>
      </c>
      <c r="S331" s="1">
        <v>307.27999999999997</v>
      </c>
      <c r="T331" s="1">
        <v>377</v>
      </c>
      <c r="U331" s="1">
        <v>1.82</v>
      </c>
      <c r="V331" s="1">
        <v>9.4</v>
      </c>
      <c r="W331" s="1">
        <v>0.1</v>
      </c>
      <c r="X331" s="1">
        <f t="shared" si="56"/>
        <v>100</v>
      </c>
      <c r="Y331" s="1">
        <v>3.3000000000000002E-2</v>
      </c>
      <c r="Z331" s="1">
        <v>8.0000000000000002E-3</v>
      </c>
      <c r="AA331" s="1">
        <v>0</v>
      </c>
      <c r="AB331" s="1">
        <v>6.8</v>
      </c>
      <c r="AC331" s="1">
        <v>25</v>
      </c>
      <c r="AD331" s="1" t="s">
        <v>75</v>
      </c>
      <c r="AE331" s="1">
        <v>0.5</v>
      </c>
      <c r="AH331" s="1">
        <v>0</v>
      </c>
      <c r="AI331" s="1">
        <f>-AK336/AA336</f>
        <v>0.14206681999118356</v>
      </c>
      <c r="AJ331" s="1">
        <f t="shared" ref="AJ331" si="58">1-AH331</f>
        <v>1</v>
      </c>
      <c r="AK331" s="1">
        <f t="shared" si="50"/>
        <v>0</v>
      </c>
      <c r="AL331" s="1">
        <v>0.13637090513132599</v>
      </c>
      <c r="AM331">
        <v>44</v>
      </c>
      <c r="AN331">
        <f>IF(ISNUMBER(AJ331),IF(AJ331&gt;=0.05,1,0),"")</f>
        <v>1</v>
      </c>
      <c r="AO331">
        <f>IF(ISNUMBER(AJ331),IF(AJ331&lt;0.005,1,0),"")</f>
        <v>0</v>
      </c>
      <c r="AP331">
        <f>IFERROR(MATCH(0,AN331:AN336,0)-1,6)</f>
        <v>6</v>
      </c>
      <c r="AQ331" s="34">
        <f>IF(AP331&lt;3,"n&lt;3",IFERROR(-SLOPE(AK331:INDEX(AK331:AK336,AP331),AA331:INDEX(AA331:AA336,AP331)),"no fit"))</f>
        <v>0.13874364431184144</v>
      </c>
      <c r="AR331" s="35">
        <f>IF(AP331&lt;3,"",IFERROR(RSQ(AK331:INDEX(AK331:AK336,AP331),AA331:INDEX(AA331:AA336,AP331)),"flat"))</f>
        <v>0.93698960619405558</v>
      </c>
      <c r="AS331" s="36">
        <f>IFERROR(AQ331/AI331,"")</f>
        <v>0.97660836161780529</v>
      </c>
    </row>
    <row r="332" spans="1:45" ht="42.75" x14ac:dyDescent="0.45">
      <c r="A332" s="1" t="s">
        <v>76</v>
      </c>
      <c r="B332" s="1" t="s">
        <v>69</v>
      </c>
      <c r="C332" s="1">
        <v>106</v>
      </c>
      <c r="D332" s="1">
        <v>250.28</v>
      </c>
      <c r="E332" s="1">
        <v>-0.1</v>
      </c>
      <c r="F332" s="1">
        <v>1.57</v>
      </c>
      <c r="G332" s="1">
        <v>1.93</v>
      </c>
      <c r="H332" s="1">
        <v>0.87</v>
      </c>
      <c r="I332" s="1">
        <v>0.86</v>
      </c>
      <c r="J332" s="1">
        <v>1.49</v>
      </c>
      <c r="K332" s="1" t="s">
        <v>67</v>
      </c>
      <c r="M332" s="1">
        <v>0.42</v>
      </c>
      <c r="N332" s="1">
        <v>1.1499999999999999</v>
      </c>
      <c r="P332" s="1">
        <v>7.2</v>
      </c>
      <c r="Q332" s="1">
        <v>35.5</v>
      </c>
      <c r="R332" s="1" t="s">
        <v>63</v>
      </c>
      <c r="S332" s="1">
        <v>307.27999999999997</v>
      </c>
      <c r="T332" s="1">
        <v>377</v>
      </c>
      <c r="U332" s="1">
        <v>1.82</v>
      </c>
      <c r="V332" s="1">
        <v>9.4</v>
      </c>
      <c r="W332" s="1">
        <v>0.1</v>
      </c>
      <c r="X332" s="1">
        <f t="shared" si="56"/>
        <v>100</v>
      </c>
      <c r="Y332" s="1">
        <v>3.3000000000000002E-2</v>
      </c>
      <c r="Z332" s="1">
        <v>8.0000000000000002E-3</v>
      </c>
      <c r="AA332" s="1">
        <v>0.91771773223663899</v>
      </c>
      <c r="AB332" s="1">
        <v>6.8</v>
      </c>
      <c r="AC332" s="1">
        <v>25</v>
      </c>
      <c r="AD332" s="1" t="s">
        <v>75</v>
      </c>
      <c r="AE332" s="1">
        <v>0.5</v>
      </c>
      <c r="AH332" s="1">
        <v>0.17270803751450303</v>
      </c>
      <c r="AJ332" s="1">
        <f t="shared" si="51"/>
        <v>0.82729196248549697</v>
      </c>
      <c r="AK332" s="1">
        <f t="shared" si="50"/>
        <v>-0.18959760818977955</v>
      </c>
      <c r="AM332">
        <v>44</v>
      </c>
      <c r="AN332">
        <f>IF(ISNUMBER(AJ332),IF(AJ332&gt;=0.05,1,0),"")</f>
        <v>1</v>
      </c>
      <c r="AO332">
        <f>IF(ISNUMBER(AJ332),IF(AJ332&lt;0.005,1,0),"")</f>
        <v>0</v>
      </c>
      <c r="AQ332" s="34"/>
      <c r="AR332" s="35"/>
      <c r="AS332" s="36"/>
    </row>
    <row r="333" spans="1:45" ht="42.75" x14ac:dyDescent="0.45">
      <c r="A333" s="1" t="s">
        <v>76</v>
      </c>
      <c r="B333" s="1" t="s">
        <v>69</v>
      </c>
      <c r="C333" s="1">
        <v>106</v>
      </c>
      <c r="D333" s="1">
        <v>250.28</v>
      </c>
      <c r="E333" s="1">
        <v>-0.1</v>
      </c>
      <c r="F333" s="1">
        <v>1.57</v>
      </c>
      <c r="G333" s="1">
        <v>1.93</v>
      </c>
      <c r="H333" s="1">
        <v>0.87</v>
      </c>
      <c r="I333" s="1">
        <v>0.86</v>
      </c>
      <c r="J333" s="1">
        <v>1.49</v>
      </c>
      <c r="K333" s="1" t="s">
        <v>67</v>
      </c>
      <c r="M333" s="1">
        <v>0.42</v>
      </c>
      <c r="N333" s="1">
        <v>1.1499999999999999</v>
      </c>
      <c r="P333" s="1">
        <v>7.2</v>
      </c>
      <c r="Q333" s="1">
        <v>35.5</v>
      </c>
      <c r="R333" s="1" t="s">
        <v>63</v>
      </c>
      <c r="S333" s="1">
        <v>307.27999999999997</v>
      </c>
      <c r="T333" s="1">
        <v>377</v>
      </c>
      <c r="U333" s="1">
        <v>1.82</v>
      </c>
      <c r="V333" s="1">
        <v>9.4</v>
      </c>
      <c r="W333" s="1">
        <v>0.1</v>
      </c>
      <c r="X333" s="1">
        <f t="shared" si="56"/>
        <v>100</v>
      </c>
      <c r="Y333" s="1">
        <v>3.3000000000000002E-2</v>
      </c>
      <c r="Z333" s="1">
        <v>8.0000000000000002E-3</v>
      </c>
      <c r="AA333" s="1">
        <v>2.8281199963209298</v>
      </c>
      <c r="AB333" s="1">
        <v>6.8</v>
      </c>
      <c r="AC333" s="1">
        <v>25</v>
      </c>
      <c r="AD333" s="1" t="s">
        <v>75</v>
      </c>
      <c r="AE333" s="1">
        <v>0.5</v>
      </c>
      <c r="AH333" s="1">
        <v>0.53271451459089203</v>
      </c>
      <c r="AJ333" s="1">
        <f t="shared" si="51"/>
        <v>0.46728548540910797</v>
      </c>
      <c r="AK333" s="1">
        <f t="shared" si="50"/>
        <v>-0.76081489029932226</v>
      </c>
      <c r="AM333">
        <v>44</v>
      </c>
      <c r="AN333">
        <f>IF(ISNUMBER(AJ333),IF(AJ333&gt;=0.05,1,0),"")</f>
        <v>1</v>
      </c>
      <c r="AO333">
        <f>IF(ISNUMBER(AJ333),IF(AJ333&lt;0.005,1,0),"")</f>
        <v>0</v>
      </c>
      <c r="AQ333" s="34"/>
      <c r="AR333" s="35"/>
      <c r="AS333" s="36"/>
    </row>
    <row r="334" spans="1:45" ht="42.75" x14ac:dyDescent="0.45">
      <c r="A334" s="1" t="s">
        <v>76</v>
      </c>
      <c r="B334" s="1" t="s">
        <v>69</v>
      </c>
      <c r="C334" s="1">
        <v>106</v>
      </c>
      <c r="D334" s="1">
        <v>250.28</v>
      </c>
      <c r="E334" s="1">
        <v>-0.1</v>
      </c>
      <c r="F334" s="1">
        <v>1.57</v>
      </c>
      <c r="G334" s="1">
        <v>1.93</v>
      </c>
      <c r="H334" s="1">
        <v>0.87</v>
      </c>
      <c r="I334" s="1">
        <v>0.86</v>
      </c>
      <c r="J334" s="1">
        <v>1.49</v>
      </c>
      <c r="K334" s="1" t="s">
        <v>67</v>
      </c>
      <c r="M334" s="1">
        <v>0.42</v>
      </c>
      <c r="N334" s="1">
        <v>1.1499999999999999</v>
      </c>
      <c r="P334" s="1">
        <v>7.2</v>
      </c>
      <c r="Q334" s="1">
        <v>35.5</v>
      </c>
      <c r="R334" s="1" t="s">
        <v>63</v>
      </c>
      <c r="S334" s="1">
        <v>307.27999999999997</v>
      </c>
      <c r="T334" s="1">
        <v>377</v>
      </c>
      <c r="U334" s="1">
        <v>1.82</v>
      </c>
      <c r="V334" s="1">
        <v>9.4</v>
      </c>
      <c r="W334" s="1">
        <v>0.1</v>
      </c>
      <c r="X334" s="1">
        <f t="shared" si="56"/>
        <v>100</v>
      </c>
      <c r="Y334" s="1">
        <v>3.3000000000000002E-2</v>
      </c>
      <c r="Z334" s="1">
        <v>8.0000000000000002E-3</v>
      </c>
      <c r="AA334" s="1">
        <v>5.6672212433916904</v>
      </c>
      <c r="AB334" s="1">
        <v>6.8</v>
      </c>
      <c r="AC334" s="1">
        <v>25</v>
      </c>
      <c r="AD334" s="1" t="s">
        <v>75</v>
      </c>
      <c r="AE334" s="1">
        <v>0.5</v>
      </c>
      <c r="AH334" s="1">
        <v>0.67699102339313599</v>
      </c>
      <c r="AJ334" s="1">
        <f t="shared" si="51"/>
        <v>0.32300897660686401</v>
      </c>
      <c r="AK334" s="1">
        <f t="shared" si="50"/>
        <v>-1.1300751647931329</v>
      </c>
      <c r="AM334">
        <v>44</v>
      </c>
      <c r="AN334">
        <f>IF(ISNUMBER(AJ334),IF(AJ334&gt;=0.05,1,0),"")</f>
        <v>1</v>
      </c>
      <c r="AO334">
        <f>IF(ISNUMBER(AJ334),IF(AJ334&lt;0.005,1,0),"")</f>
        <v>0</v>
      </c>
      <c r="AQ334" s="34"/>
      <c r="AR334" s="35"/>
      <c r="AS334" s="36"/>
    </row>
    <row r="335" spans="1:45" ht="42.75" x14ac:dyDescent="0.45">
      <c r="A335" s="1" t="s">
        <v>76</v>
      </c>
      <c r="B335" s="1" t="s">
        <v>69</v>
      </c>
      <c r="C335" s="1">
        <v>106</v>
      </c>
      <c r="D335" s="1">
        <v>250.28</v>
      </c>
      <c r="E335" s="1">
        <v>-0.1</v>
      </c>
      <c r="F335" s="1">
        <v>1.57</v>
      </c>
      <c r="G335" s="1">
        <v>1.93</v>
      </c>
      <c r="H335" s="1">
        <v>0.87</v>
      </c>
      <c r="I335" s="1">
        <v>0.86</v>
      </c>
      <c r="J335" s="1">
        <v>1.49</v>
      </c>
      <c r="K335" s="1" t="s">
        <v>67</v>
      </c>
      <c r="M335" s="1">
        <v>0.42</v>
      </c>
      <c r="N335" s="1">
        <v>1.1499999999999999</v>
      </c>
      <c r="P335" s="1">
        <v>7.2</v>
      </c>
      <c r="Q335" s="1">
        <v>35.5</v>
      </c>
      <c r="R335" s="1" t="s">
        <v>63</v>
      </c>
      <c r="S335" s="1">
        <v>307.27999999999997</v>
      </c>
      <c r="T335" s="1">
        <v>377</v>
      </c>
      <c r="U335" s="1">
        <v>1.82</v>
      </c>
      <c r="V335" s="1">
        <v>9.4</v>
      </c>
      <c r="W335" s="1">
        <v>0.1</v>
      </c>
      <c r="X335" s="1">
        <f t="shared" si="56"/>
        <v>100</v>
      </c>
      <c r="Y335" s="1">
        <v>3.3000000000000002E-2</v>
      </c>
      <c r="Z335" s="1">
        <v>8.0000000000000002E-3</v>
      </c>
      <c r="AA335" s="1">
        <v>8.5074774722234192</v>
      </c>
      <c r="AB335" s="1">
        <v>6.8</v>
      </c>
      <c r="AC335" s="1">
        <v>25</v>
      </c>
      <c r="AD335" s="1" t="s">
        <v>75</v>
      </c>
      <c r="AE335" s="1">
        <v>0.5</v>
      </c>
      <c r="AH335" s="1">
        <v>0.73113045898423901</v>
      </c>
      <c r="AJ335" s="1">
        <f t="shared" si="51"/>
        <v>0.26886954101576099</v>
      </c>
      <c r="AK335" s="1">
        <f t="shared" si="50"/>
        <v>-1.3135289946565647</v>
      </c>
      <c r="AM335">
        <v>44</v>
      </c>
      <c r="AN335">
        <f>IF(ISNUMBER(AJ335),IF(AJ335&gt;=0.05,1,0),"")</f>
        <v>1</v>
      </c>
      <c r="AO335">
        <f>IF(ISNUMBER(AJ335),IF(AJ335&lt;0.005,1,0),"")</f>
        <v>0</v>
      </c>
      <c r="AQ335" s="34"/>
      <c r="AR335" s="35"/>
      <c r="AS335" s="36"/>
    </row>
    <row r="336" spans="1:45" ht="42.75" x14ac:dyDescent="0.45">
      <c r="A336" s="1" t="s">
        <v>76</v>
      </c>
      <c r="B336" s="1" t="s">
        <v>69</v>
      </c>
      <c r="C336" s="1">
        <v>106</v>
      </c>
      <c r="D336" s="1">
        <v>250.28</v>
      </c>
      <c r="E336" s="1">
        <v>-0.1</v>
      </c>
      <c r="F336" s="1">
        <v>1.57</v>
      </c>
      <c r="G336" s="1">
        <v>1.93</v>
      </c>
      <c r="H336" s="1">
        <v>0.87</v>
      </c>
      <c r="I336" s="1">
        <v>0.86</v>
      </c>
      <c r="J336" s="1">
        <v>1.49</v>
      </c>
      <c r="K336" s="1" t="s">
        <v>67</v>
      </c>
      <c r="M336" s="1">
        <v>0.42</v>
      </c>
      <c r="N336" s="1">
        <v>1.1499999999999999</v>
      </c>
      <c r="P336" s="1">
        <v>7.2</v>
      </c>
      <c r="Q336" s="1">
        <v>35.5</v>
      </c>
      <c r="R336" s="1" t="s">
        <v>63</v>
      </c>
      <c r="S336" s="1">
        <v>307.27999999999997</v>
      </c>
      <c r="T336" s="1">
        <v>377</v>
      </c>
      <c r="U336" s="1">
        <v>1.82</v>
      </c>
      <c r="V336" s="1">
        <v>9.4</v>
      </c>
      <c r="W336" s="1">
        <v>0.1</v>
      </c>
      <c r="X336" s="1">
        <f t="shared" si="56"/>
        <v>100</v>
      </c>
      <c r="Y336" s="1">
        <v>3.3000000000000002E-2</v>
      </c>
      <c r="Z336" s="1">
        <v>8.0000000000000002E-3</v>
      </c>
      <c r="AA336" s="1">
        <v>11.314707465836101</v>
      </c>
      <c r="AB336" s="1">
        <v>6.8</v>
      </c>
      <c r="AC336" s="1">
        <v>25</v>
      </c>
      <c r="AD336" s="1" t="s">
        <v>75</v>
      </c>
      <c r="AE336" s="1">
        <v>0.5</v>
      </c>
      <c r="AH336" s="1">
        <v>0.79960092164357499</v>
      </c>
      <c r="AJ336" s="1">
        <f t="shared" si="51"/>
        <v>0.20039907835642501</v>
      </c>
      <c r="AK336" s="1">
        <f t="shared" si="50"/>
        <v>-1.6074445088018381</v>
      </c>
      <c r="AM336">
        <v>44</v>
      </c>
      <c r="AN336">
        <f>IF(ISNUMBER(AJ336),IF(AJ336&gt;=0.05,1,0),"")</f>
        <v>1</v>
      </c>
      <c r="AO336">
        <f>IF(ISNUMBER(AJ336),IF(AJ336&lt;0.005,1,0),"")</f>
        <v>0</v>
      </c>
      <c r="AQ336" s="34"/>
      <c r="AR336" s="35"/>
      <c r="AS336" s="36"/>
    </row>
    <row r="337" spans="1:45" ht="42.75" x14ac:dyDescent="0.45">
      <c r="A337" s="1" t="s">
        <v>76</v>
      </c>
      <c r="B337" s="1" t="s">
        <v>69</v>
      </c>
      <c r="C337" s="1">
        <v>106</v>
      </c>
      <c r="D337" s="1">
        <v>250.28</v>
      </c>
      <c r="E337" s="1">
        <v>-0.1</v>
      </c>
      <c r="F337" s="1">
        <v>1.57</v>
      </c>
      <c r="G337" s="1">
        <v>1.93</v>
      </c>
      <c r="H337" s="1">
        <v>0.87</v>
      </c>
      <c r="I337" s="1">
        <v>0.86</v>
      </c>
      <c r="J337" s="1">
        <v>1.49</v>
      </c>
      <c r="K337" s="1" t="s">
        <v>67</v>
      </c>
      <c r="M337" s="1">
        <v>0.42</v>
      </c>
      <c r="N337" s="1">
        <v>1.1499999999999999</v>
      </c>
      <c r="P337" s="1">
        <v>7.2</v>
      </c>
      <c r="Q337" s="1">
        <v>35.5</v>
      </c>
      <c r="R337" s="1" t="s">
        <v>63</v>
      </c>
      <c r="S337" s="1">
        <v>307.27999999999997</v>
      </c>
      <c r="T337" s="1">
        <v>377</v>
      </c>
      <c r="U337" s="1">
        <v>1.82</v>
      </c>
      <c r="V337" s="1">
        <v>9.4</v>
      </c>
      <c r="W337" s="1">
        <v>0.1</v>
      </c>
      <c r="X337" s="1">
        <f t="shared" si="56"/>
        <v>100</v>
      </c>
      <c r="Y337" s="1">
        <v>3.3000000000000002E-2</v>
      </c>
      <c r="Z337" s="1">
        <v>8.0000000000000002E-3</v>
      </c>
      <c r="AA337" s="1">
        <v>0</v>
      </c>
      <c r="AB337" s="1">
        <v>6.8</v>
      </c>
      <c r="AC337" s="1">
        <v>25</v>
      </c>
      <c r="AD337" s="1" t="s">
        <v>75</v>
      </c>
      <c r="AE337" s="1">
        <v>1</v>
      </c>
      <c r="AH337" s="1">
        <v>0</v>
      </c>
      <c r="AI337" s="1">
        <f>-AK342/AA342</f>
        <v>0.11937900169519573</v>
      </c>
      <c r="AJ337" s="1">
        <f t="shared" ref="AJ337" si="59">1-AH337</f>
        <v>1</v>
      </c>
      <c r="AK337" s="1">
        <f t="shared" si="50"/>
        <v>0</v>
      </c>
      <c r="AL337" s="1">
        <v>0.116187832662209</v>
      </c>
      <c r="AM337">
        <v>45</v>
      </c>
      <c r="AN337">
        <f>IF(ISNUMBER(AJ337),IF(AJ337&gt;=0.05,1,0),"")</f>
        <v>1</v>
      </c>
      <c r="AO337">
        <f>IF(ISNUMBER(AJ337),IF(AJ337&lt;0.005,1,0),"")</f>
        <v>0</v>
      </c>
      <c r="AP337">
        <f>IFERROR(MATCH(0,AN337:AN342,0)-1,6)</f>
        <v>6</v>
      </c>
      <c r="AQ337" s="34">
        <f>IF(AP337&lt;3,"n&lt;3",IFERROR(-SLOPE(AK337:INDEX(AK337:AK342,AP337),AA337:INDEX(AA337:AA342,AP337)),"no fit"))</f>
        <v>0.11614299112108054</v>
      </c>
      <c r="AR337" s="35">
        <f>IF(AP337&lt;3,"",IFERROR(RSQ(AK337:INDEX(AK337:AK342,AP337),AA337:INDEX(AA337:AA342,AP337)),"flat"))</f>
        <v>0.95146894612037869</v>
      </c>
      <c r="AS337" s="36">
        <f>IFERROR(AQ337/AI337,"")</f>
        <v>0.97289296670131709</v>
      </c>
    </row>
    <row r="338" spans="1:45" ht="42.75" x14ac:dyDescent="0.45">
      <c r="A338" s="1" t="s">
        <v>76</v>
      </c>
      <c r="B338" s="1" t="s">
        <v>69</v>
      </c>
      <c r="C338" s="1">
        <v>106</v>
      </c>
      <c r="D338" s="1">
        <v>250.28</v>
      </c>
      <c r="E338" s="1">
        <v>-0.1</v>
      </c>
      <c r="F338" s="1">
        <v>1.57</v>
      </c>
      <c r="G338" s="1">
        <v>1.93</v>
      </c>
      <c r="H338" s="1">
        <v>0.87</v>
      </c>
      <c r="I338" s="1">
        <v>0.86</v>
      </c>
      <c r="J338" s="1">
        <v>1.49</v>
      </c>
      <c r="K338" s="1" t="s">
        <v>67</v>
      </c>
      <c r="M338" s="1">
        <v>0.42</v>
      </c>
      <c r="N338" s="1">
        <v>1.1499999999999999</v>
      </c>
      <c r="P338" s="1">
        <v>7.2</v>
      </c>
      <c r="Q338" s="1">
        <v>35.5</v>
      </c>
      <c r="R338" s="1" t="s">
        <v>63</v>
      </c>
      <c r="S338" s="1">
        <v>307.27999999999997</v>
      </c>
      <c r="T338" s="1">
        <v>377</v>
      </c>
      <c r="U338" s="1">
        <v>1.82</v>
      </c>
      <c r="V338" s="1">
        <v>9.4</v>
      </c>
      <c r="W338" s="1">
        <v>0.1</v>
      </c>
      <c r="X338" s="1">
        <f t="shared" si="56"/>
        <v>100</v>
      </c>
      <c r="Y338" s="1">
        <v>3.3000000000000002E-2</v>
      </c>
      <c r="Z338" s="1">
        <v>8.0000000000000002E-3</v>
      </c>
      <c r="AA338" s="1">
        <v>1.07657454795437</v>
      </c>
      <c r="AB338" s="1">
        <v>6.8</v>
      </c>
      <c r="AC338" s="1">
        <v>25</v>
      </c>
      <c r="AD338" s="1" t="s">
        <v>75</v>
      </c>
      <c r="AE338" s="1">
        <v>1</v>
      </c>
      <c r="AH338" s="1">
        <v>0.14881305911169795</v>
      </c>
      <c r="AJ338" s="1">
        <f t="shared" si="51"/>
        <v>0.85118694088830205</v>
      </c>
      <c r="AK338" s="1">
        <f t="shared" si="50"/>
        <v>-0.16112350251397167</v>
      </c>
      <c r="AM338">
        <v>45</v>
      </c>
      <c r="AN338">
        <f>IF(ISNUMBER(AJ338),IF(AJ338&gt;=0.05,1,0),"")</f>
        <v>1</v>
      </c>
      <c r="AO338">
        <f>IF(ISNUMBER(AJ338),IF(AJ338&lt;0.005,1,0),"")</f>
        <v>0</v>
      </c>
      <c r="AQ338" s="34"/>
      <c r="AR338" s="35"/>
      <c r="AS338" s="36"/>
    </row>
    <row r="339" spans="1:45" ht="42.75" x14ac:dyDescent="0.45">
      <c r="A339" s="1" t="s">
        <v>76</v>
      </c>
      <c r="B339" s="1" t="s">
        <v>69</v>
      </c>
      <c r="C339" s="1">
        <v>106</v>
      </c>
      <c r="D339" s="1">
        <v>250.28</v>
      </c>
      <c r="E339" s="1">
        <v>-0.1</v>
      </c>
      <c r="F339" s="1">
        <v>1.57</v>
      </c>
      <c r="G339" s="1">
        <v>1.93</v>
      </c>
      <c r="H339" s="1">
        <v>0.87</v>
      </c>
      <c r="I339" s="1">
        <v>0.86</v>
      </c>
      <c r="J339" s="1">
        <v>1.49</v>
      </c>
      <c r="K339" s="1" t="s">
        <v>67</v>
      </c>
      <c r="M339" s="1">
        <v>0.42</v>
      </c>
      <c r="N339" s="1">
        <v>1.1499999999999999</v>
      </c>
      <c r="P339" s="1">
        <v>7.2</v>
      </c>
      <c r="Q339" s="1">
        <v>35.5</v>
      </c>
      <c r="R339" s="1" t="s">
        <v>63</v>
      </c>
      <c r="S339" s="1">
        <v>307.27999999999997</v>
      </c>
      <c r="T339" s="1">
        <v>377</v>
      </c>
      <c r="U339" s="1">
        <v>1.82</v>
      </c>
      <c r="V339" s="1">
        <v>9.4</v>
      </c>
      <c r="W339" s="1">
        <v>0.1</v>
      </c>
      <c r="X339" s="1">
        <f t="shared" si="56"/>
        <v>100</v>
      </c>
      <c r="Y339" s="1">
        <v>3.3000000000000002E-2</v>
      </c>
      <c r="Z339" s="1">
        <v>8.0000000000000002E-3</v>
      </c>
      <c r="AA339" s="1">
        <v>2.8616425615398899</v>
      </c>
      <c r="AB339" s="1">
        <v>6.8</v>
      </c>
      <c r="AC339" s="1">
        <v>25</v>
      </c>
      <c r="AD339" s="1" t="s">
        <v>75</v>
      </c>
      <c r="AE339" s="1">
        <v>1</v>
      </c>
      <c r="AH339" s="1">
        <v>0.43814057225591596</v>
      </c>
      <c r="AJ339" s="1">
        <f t="shared" si="51"/>
        <v>0.56185942774408404</v>
      </c>
      <c r="AK339" s="1">
        <f t="shared" si="50"/>
        <v>-0.57650358894505938</v>
      </c>
      <c r="AM339">
        <v>45</v>
      </c>
      <c r="AN339">
        <f>IF(ISNUMBER(AJ339),IF(AJ339&gt;=0.05,1,0),"")</f>
        <v>1</v>
      </c>
      <c r="AO339">
        <f>IF(ISNUMBER(AJ339),IF(AJ339&lt;0.005,1,0),"")</f>
        <v>0</v>
      </c>
      <c r="AQ339" s="34"/>
      <c r="AR339" s="35"/>
      <c r="AS339" s="36"/>
    </row>
    <row r="340" spans="1:45" ht="42.75" x14ac:dyDescent="0.45">
      <c r="A340" s="1" t="s">
        <v>76</v>
      </c>
      <c r="B340" s="1" t="s">
        <v>69</v>
      </c>
      <c r="C340" s="1">
        <v>106</v>
      </c>
      <c r="D340" s="1">
        <v>250.28</v>
      </c>
      <c r="E340" s="1">
        <v>-0.1</v>
      </c>
      <c r="F340" s="1">
        <v>1.57</v>
      </c>
      <c r="G340" s="1">
        <v>1.93</v>
      </c>
      <c r="H340" s="1">
        <v>0.87</v>
      </c>
      <c r="I340" s="1">
        <v>0.86</v>
      </c>
      <c r="J340" s="1">
        <v>1.49</v>
      </c>
      <c r="K340" s="1" t="s">
        <v>67</v>
      </c>
      <c r="M340" s="1">
        <v>0.42</v>
      </c>
      <c r="N340" s="1">
        <v>1.1499999999999999</v>
      </c>
      <c r="P340" s="1">
        <v>7.2</v>
      </c>
      <c r="Q340" s="1">
        <v>35.5</v>
      </c>
      <c r="R340" s="1" t="s">
        <v>63</v>
      </c>
      <c r="S340" s="1">
        <v>307.27999999999997</v>
      </c>
      <c r="T340" s="1">
        <v>377</v>
      </c>
      <c r="U340" s="1">
        <v>1.82</v>
      </c>
      <c r="V340" s="1">
        <v>9.4</v>
      </c>
      <c r="W340" s="1">
        <v>0.1</v>
      </c>
      <c r="X340" s="1">
        <f t="shared" si="56"/>
        <v>100</v>
      </c>
      <c r="Y340" s="1">
        <v>3.3000000000000002E-2</v>
      </c>
      <c r="Z340" s="1">
        <v>8.0000000000000002E-3</v>
      </c>
      <c r="AA340" s="1">
        <v>5.6531850934236303</v>
      </c>
      <c r="AB340" s="1">
        <v>6.8</v>
      </c>
      <c r="AC340" s="1">
        <v>25</v>
      </c>
      <c r="AD340" s="1" t="s">
        <v>75</v>
      </c>
      <c r="AE340" s="1">
        <v>1</v>
      </c>
      <c r="AH340" s="1">
        <v>0.60111619674854599</v>
      </c>
      <c r="AJ340" s="1">
        <f t="shared" si="51"/>
        <v>0.39888380325145401</v>
      </c>
      <c r="AK340" s="1">
        <f t="shared" si="50"/>
        <v>-0.91908512442619728</v>
      </c>
      <c r="AM340">
        <v>45</v>
      </c>
      <c r="AN340">
        <f>IF(ISNUMBER(AJ340),IF(AJ340&gt;=0.05,1,0),"")</f>
        <v>1</v>
      </c>
      <c r="AO340">
        <f>IF(ISNUMBER(AJ340),IF(AJ340&lt;0.005,1,0),"")</f>
        <v>0</v>
      </c>
      <c r="AQ340" s="34"/>
      <c r="AR340" s="35"/>
      <c r="AS340" s="36"/>
    </row>
    <row r="341" spans="1:45" ht="42.75" x14ac:dyDescent="0.45">
      <c r="A341" s="1" t="s">
        <v>76</v>
      </c>
      <c r="B341" s="1" t="s">
        <v>69</v>
      </c>
      <c r="C341" s="1">
        <v>106</v>
      </c>
      <c r="D341" s="1">
        <v>250.28</v>
      </c>
      <c r="E341" s="1">
        <v>-0.1</v>
      </c>
      <c r="F341" s="1">
        <v>1.57</v>
      </c>
      <c r="G341" s="1">
        <v>1.93</v>
      </c>
      <c r="H341" s="1">
        <v>0.87</v>
      </c>
      <c r="I341" s="1">
        <v>0.86</v>
      </c>
      <c r="J341" s="1">
        <v>1.49</v>
      </c>
      <c r="K341" s="1" t="s">
        <v>67</v>
      </c>
      <c r="M341" s="1">
        <v>0.42</v>
      </c>
      <c r="N341" s="1">
        <v>1.1499999999999999</v>
      </c>
      <c r="P341" s="1">
        <v>7.2</v>
      </c>
      <c r="Q341" s="1">
        <v>35.5</v>
      </c>
      <c r="R341" s="1" t="s">
        <v>63</v>
      </c>
      <c r="S341" s="1">
        <v>307.27999999999997</v>
      </c>
      <c r="T341" s="1">
        <v>377</v>
      </c>
      <c r="U341" s="1">
        <v>1.82</v>
      </c>
      <c r="V341" s="1">
        <v>9.4</v>
      </c>
      <c r="W341" s="1">
        <v>0.1</v>
      </c>
      <c r="X341" s="1">
        <f t="shared" si="56"/>
        <v>100</v>
      </c>
      <c r="Y341" s="1">
        <v>3.3000000000000002E-2</v>
      </c>
      <c r="Z341" s="1">
        <v>8.0000000000000002E-3</v>
      </c>
      <c r="AA341" s="1">
        <v>8.5206879663110104</v>
      </c>
      <c r="AB341" s="1">
        <v>6.8</v>
      </c>
      <c r="AC341" s="1">
        <v>25</v>
      </c>
      <c r="AD341" s="1" t="s">
        <v>75</v>
      </c>
      <c r="AE341" s="1">
        <v>1</v>
      </c>
      <c r="AH341" s="1">
        <v>0.64872705334189806</v>
      </c>
      <c r="AJ341" s="1">
        <f t="shared" si="51"/>
        <v>0.35127294665810194</v>
      </c>
      <c r="AK341" s="1">
        <f t="shared" si="50"/>
        <v>-1.0461917319040079</v>
      </c>
      <c r="AM341">
        <v>45</v>
      </c>
      <c r="AN341">
        <f>IF(ISNUMBER(AJ341),IF(AJ341&gt;=0.05,1,0),"")</f>
        <v>1</v>
      </c>
      <c r="AO341">
        <f>IF(ISNUMBER(AJ341),IF(AJ341&lt;0.005,1,0),"")</f>
        <v>0</v>
      </c>
      <c r="AQ341" s="34"/>
      <c r="AR341" s="35"/>
      <c r="AS341" s="36"/>
    </row>
    <row r="342" spans="1:45" ht="42.75" x14ac:dyDescent="0.45">
      <c r="A342" s="1" t="s">
        <v>76</v>
      </c>
      <c r="B342" s="1" t="s">
        <v>69</v>
      </c>
      <c r="C342" s="1">
        <v>106</v>
      </c>
      <c r="D342" s="1">
        <v>250.28</v>
      </c>
      <c r="E342" s="1">
        <v>-0.1</v>
      </c>
      <c r="F342" s="1">
        <v>1.57</v>
      </c>
      <c r="G342" s="1">
        <v>1.93</v>
      </c>
      <c r="H342" s="1">
        <v>0.87</v>
      </c>
      <c r="I342" s="1">
        <v>0.86</v>
      </c>
      <c r="J342" s="1">
        <v>1.49</v>
      </c>
      <c r="K342" s="1" t="s">
        <v>67</v>
      </c>
      <c r="M342" s="1">
        <v>0.42</v>
      </c>
      <c r="N342" s="1">
        <v>1.1499999999999999</v>
      </c>
      <c r="P342" s="1">
        <v>7.2</v>
      </c>
      <c r="Q342" s="1">
        <v>35.5</v>
      </c>
      <c r="R342" s="1" t="s">
        <v>63</v>
      </c>
      <c r="S342" s="1">
        <v>307.27999999999997</v>
      </c>
      <c r="T342" s="1">
        <v>377</v>
      </c>
      <c r="U342" s="1">
        <v>1.82</v>
      </c>
      <c r="V342" s="1">
        <v>9.4</v>
      </c>
      <c r="W342" s="1">
        <v>0.1</v>
      </c>
      <c r="X342" s="1">
        <f t="shared" si="56"/>
        <v>100</v>
      </c>
      <c r="Y342" s="1">
        <v>3.3000000000000002E-2</v>
      </c>
      <c r="Z342" s="1">
        <v>8.0000000000000002E-3</v>
      </c>
      <c r="AA342" s="1">
        <v>11.293240412943801</v>
      </c>
      <c r="AB342" s="1">
        <v>6.8</v>
      </c>
      <c r="AC342" s="1">
        <v>25</v>
      </c>
      <c r="AD342" s="1" t="s">
        <v>75</v>
      </c>
      <c r="AE342" s="1">
        <v>1</v>
      </c>
      <c r="AH342" s="1">
        <v>0.74028639294449894</v>
      </c>
      <c r="AJ342" s="1">
        <f t="shared" si="51"/>
        <v>0.25971360705550106</v>
      </c>
      <c r="AK342" s="1">
        <f t="shared" si="50"/>
        <v>-1.348175766401071</v>
      </c>
      <c r="AM342">
        <v>45</v>
      </c>
      <c r="AN342">
        <f>IF(ISNUMBER(AJ342),IF(AJ342&gt;=0.05,1,0),"")</f>
        <v>1</v>
      </c>
      <c r="AO342">
        <f>IF(ISNUMBER(AJ342),IF(AJ342&lt;0.005,1,0),"")</f>
        <v>0</v>
      </c>
      <c r="AQ342" s="34"/>
      <c r="AR342" s="35"/>
      <c r="AS342" s="36"/>
    </row>
    <row r="343" spans="1:45" ht="42.75" x14ac:dyDescent="0.45">
      <c r="A343" s="1" t="s">
        <v>76</v>
      </c>
      <c r="B343" s="1" t="s">
        <v>69</v>
      </c>
      <c r="C343" s="1">
        <v>106</v>
      </c>
      <c r="D343" s="1">
        <v>250.28</v>
      </c>
      <c r="E343" s="1">
        <v>-0.1</v>
      </c>
      <c r="F343" s="1">
        <v>1.57</v>
      </c>
      <c r="G343" s="1">
        <v>1.93</v>
      </c>
      <c r="H343" s="1">
        <v>0.87</v>
      </c>
      <c r="I343" s="1">
        <v>0.86</v>
      </c>
      <c r="J343" s="1">
        <v>1.49</v>
      </c>
      <c r="K343" s="1" t="s">
        <v>67</v>
      </c>
      <c r="M343" s="1">
        <v>0.42</v>
      </c>
      <c r="N343" s="1">
        <v>1.1499999999999999</v>
      </c>
      <c r="P343" s="1">
        <v>7.2</v>
      </c>
      <c r="Q343" s="1">
        <v>35.5</v>
      </c>
      <c r="R343" s="1" t="s">
        <v>63</v>
      </c>
      <c r="S343" s="1">
        <v>307.27999999999997</v>
      </c>
      <c r="T343" s="1">
        <v>377</v>
      </c>
      <c r="U343" s="1">
        <v>1.82</v>
      </c>
      <c r="V343" s="1">
        <v>9.4</v>
      </c>
      <c r="W343" s="1">
        <v>0.1</v>
      </c>
      <c r="X343" s="1">
        <f t="shared" si="56"/>
        <v>100</v>
      </c>
      <c r="Y343" s="1">
        <v>3.3000000000000002E-2</v>
      </c>
      <c r="Z343" s="1">
        <v>8.0000000000000002E-3</v>
      </c>
      <c r="AA343" s="1">
        <v>0</v>
      </c>
      <c r="AB343" s="1">
        <v>6.8</v>
      </c>
      <c r="AC343" s="1">
        <v>25</v>
      </c>
      <c r="AD343" s="1" t="s">
        <v>75</v>
      </c>
      <c r="AE343" s="1">
        <v>5</v>
      </c>
      <c r="AH343" s="1">
        <v>0</v>
      </c>
      <c r="AI343" s="1">
        <f>-AK348/AA348</f>
        <v>8.7041801689669379E-2</v>
      </c>
      <c r="AJ343" s="1">
        <f t="shared" ref="AJ343" si="60">1-AH343</f>
        <v>1</v>
      </c>
      <c r="AK343" s="1">
        <f t="shared" si="50"/>
        <v>0</v>
      </c>
      <c r="AL343" s="1">
        <v>8.5624224283796402E-2</v>
      </c>
      <c r="AM343">
        <v>46</v>
      </c>
      <c r="AN343">
        <f>IF(ISNUMBER(AJ343),IF(AJ343&gt;=0.05,1,0),"")</f>
        <v>1</v>
      </c>
      <c r="AO343">
        <f>IF(ISNUMBER(AJ343),IF(AJ343&lt;0.005,1,0),"")</f>
        <v>0</v>
      </c>
      <c r="AP343">
        <f>IFERROR(MATCH(0,AN343:AN348,0)-1,6)</f>
        <v>6</v>
      </c>
      <c r="AQ343" s="34">
        <f>IF(AP343&lt;3,"n&lt;3",IFERROR(-SLOPE(AK343:INDEX(AK343:AK348,AP343),AA343:INDEX(AA343:AA348,AP343)),"no fit"))</f>
        <v>8.5100145178904643E-2</v>
      </c>
      <c r="AR343" s="35">
        <f>IF(AP343&lt;3,"",IFERROR(RSQ(AK343:INDEX(AK343:AK348,AP343),AA343:INDEX(AA343:AA348,AP343)),"flat"))</f>
        <v>0.99460992151608685</v>
      </c>
      <c r="AS343" s="36">
        <f>IFERROR(AQ343/AI343,"")</f>
        <v>0.97769282720402162</v>
      </c>
    </row>
    <row r="344" spans="1:45" ht="42.75" x14ac:dyDescent="0.45">
      <c r="A344" s="1" t="s">
        <v>76</v>
      </c>
      <c r="B344" s="1" t="s">
        <v>69</v>
      </c>
      <c r="C344" s="1">
        <v>106</v>
      </c>
      <c r="D344" s="1">
        <v>250.28</v>
      </c>
      <c r="E344" s="1">
        <v>-0.1</v>
      </c>
      <c r="F344" s="1">
        <v>1.57</v>
      </c>
      <c r="G344" s="1">
        <v>1.93</v>
      </c>
      <c r="H344" s="1">
        <v>0.87</v>
      </c>
      <c r="I344" s="1">
        <v>0.86</v>
      </c>
      <c r="J344" s="1">
        <v>1.49</v>
      </c>
      <c r="K344" s="1" t="s">
        <v>67</v>
      </c>
      <c r="M344" s="1">
        <v>0.42</v>
      </c>
      <c r="N344" s="1">
        <v>1.1499999999999999</v>
      </c>
      <c r="P344" s="1">
        <v>7.2</v>
      </c>
      <c r="Q344" s="1">
        <v>35.5</v>
      </c>
      <c r="R344" s="1" t="s">
        <v>63</v>
      </c>
      <c r="S344" s="1">
        <v>307.27999999999997</v>
      </c>
      <c r="T344" s="1">
        <v>377</v>
      </c>
      <c r="U344" s="1">
        <v>1.82</v>
      </c>
      <c r="V344" s="1">
        <v>9.4</v>
      </c>
      <c r="W344" s="1">
        <v>0.1</v>
      </c>
      <c r="X344" s="1">
        <f t="shared" si="56"/>
        <v>100</v>
      </c>
      <c r="Y344" s="1">
        <v>3.3000000000000002E-2</v>
      </c>
      <c r="Z344" s="1">
        <v>8.0000000000000002E-3</v>
      </c>
      <c r="AA344" s="1">
        <v>0.94364395119800604</v>
      </c>
      <c r="AB344" s="1">
        <v>6.8</v>
      </c>
      <c r="AC344" s="1">
        <v>25</v>
      </c>
      <c r="AD344" s="1" t="s">
        <v>75</v>
      </c>
      <c r="AE344" s="1">
        <v>5</v>
      </c>
      <c r="AH344" s="1">
        <v>9.2412505916495968E-2</v>
      </c>
      <c r="AJ344" s="1">
        <f t="shared" si="51"/>
        <v>0.90758749408350403</v>
      </c>
      <c r="AK344" s="1">
        <f t="shared" si="50"/>
        <v>-9.6965305277262354E-2</v>
      </c>
      <c r="AM344">
        <v>46</v>
      </c>
      <c r="AN344">
        <f>IF(ISNUMBER(AJ344),IF(AJ344&gt;=0.05,1,0),"")</f>
        <v>1</v>
      </c>
      <c r="AO344">
        <f>IF(ISNUMBER(AJ344),IF(AJ344&lt;0.005,1,0),"")</f>
        <v>0</v>
      </c>
      <c r="AQ344" s="34"/>
      <c r="AR344" s="35"/>
      <c r="AS344" s="36"/>
    </row>
    <row r="345" spans="1:45" ht="42.75" x14ac:dyDescent="0.45">
      <c r="A345" s="1" t="s">
        <v>76</v>
      </c>
      <c r="B345" s="1" t="s">
        <v>69</v>
      </c>
      <c r="C345" s="1">
        <v>106</v>
      </c>
      <c r="D345" s="1">
        <v>250.28</v>
      </c>
      <c r="E345" s="1">
        <v>-0.1</v>
      </c>
      <c r="F345" s="1">
        <v>1.57</v>
      </c>
      <c r="G345" s="1">
        <v>1.93</v>
      </c>
      <c r="H345" s="1">
        <v>0.87</v>
      </c>
      <c r="I345" s="1">
        <v>0.86</v>
      </c>
      <c r="J345" s="1">
        <v>1.49</v>
      </c>
      <c r="K345" s="1" t="s">
        <v>67</v>
      </c>
      <c r="M345" s="1">
        <v>0.42</v>
      </c>
      <c r="N345" s="1">
        <v>1.1499999999999999</v>
      </c>
      <c r="P345" s="1">
        <v>7.2</v>
      </c>
      <c r="Q345" s="1">
        <v>35.5</v>
      </c>
      <c r="R345" s="1" t="s">
        <v>63</v>
      </c>
      <c r="S345" s="1">
        <v>307.27999999999997</v>
      </c>
      <c r="T345" s="1">
        <v>377</v>
      </c>
      <c r="U345" s="1">
        <v>1.82</v>
      </c>
      <c r="V345" s="1">
        <v>9.4</v>
      </c>
      <c r="W345" s="1">
        <v>0.1</v>
      </c>
      <c r="X345" s="1">
        <f t="shared" si="56"/>
        <v>100</v>
      </c>
      <c r="Y345" s="1">
        <v>3.3000000000000002E-2</v>
      </c>
      <c r="Z345" s="1">
        <v>8.0000000000000002E-3</v>
      </c>
      <c r="AA345" s="1">
        <v>2.8217633825129802</v>
      </c>
      <c r="AB345" s="1">
        <v>6.8</v>
      </c>
      <c r="AC345" s="1">
        <v>25</v>
      </c>
      <c r="AD345" s="1" t="s">
        <v>75</v>
      </c>
      <c r="AE345" s="1">
        <v>5</v>
      </c>
      <c r="AH345" s="1">
        <v>0.26088169078528201</v>
      </c>
      <c r="AJ345" s="1">
        <f t="shared" si="51"/>
        <v>0.73911830921471799</v>
      </c>
      <c r="AK345" s="1">
        <f t="shared" si="50"/>
        <v>-0.30229727718758748</v>
      </c>
      <c r="AM345">
        <v>46</v>
      </c>
      <c r="AN345">
        <f>IF(ISNUMBER(AJ345),IF(AJ345&gt;=0.05,1,0),"")</f>
        <v>1</v>
      </c>
      <c r="AO345">
        <f>IF(ISNUMBER(AJ345),IF(AJ345&lt;0.005,1,0),"")</f>
        <v>0</v>
      </c>
      <c r="AQ345" s="34"/>
      <c r="AR345" s="35"/>
      <c r="AS345" s="36"/>
    </row>
    <row r="346" spans="1:45" ht="42.75" x14ac:dyDescent="0.45">
      <c r="A346" s="1" t="s">
        <v>76</v>
      </c>
      <c r="B346" s="1" t="s">
        <v>69</v>
      </c>
      <c r="C346" s="1">
        <v>106</v>
      </c>
      <c r="D346" s="1">
        <v>250.28</v>
      </c>
      <c r="E346" s="1">
        <v>-0.1</v>
      </c>
      <c r="F346" s="1">
        <v>1.57</v>
      </c>
      <c r="G346" s="1">
        <v>1.93</v>
      </c>
      <c r="H346" s="1">
        <v>0.87</v>
      </c>
      <c r="I346" s="1">
        <v>0.86</v>
      </c>
      <c r="J346" s="1">
        <v>1.49</v>
      </c>
      <c r="K346" s="1" t="s">
        <v>67</v>
      </c>
      <c r="M346" s="1">
        <v>0.42</v>
      </c>
      <c r="N346" s="1">
        <v>1.1499999999999999</v>
      </c>
      <c r="P346" s="1">
        <v>7.2</v>
      </c>
      <c r="Q346" s="1">
        <v>35.5</v>
      </c>
      <c r="R346" s="1" t="s">
        <v>63</v>
      </c>
      <c r="S346" s="1">
        <v>307.27999999999997</v>
      </c>
      <c r="T346" s="1">
        <v>377</v>
      </c>
      <c r="U346" s="1">
        <v>1.82</v>
      </c>
      <c r="V346" s="1">
        <v>9.4</v>
      </c>
      <c r="W346" s="1">
        <v>0.1</v>
      </c>
      <c r="X346" s="1">
        <f t="shared" si="56"/>
        <v>100</v>
      </c>
      <c r="Y346" s="1">
        <v>3.3000000000000002E-2</v>
      </c>
      <c r="Z346" s="1">
        <v>8.0000000000000002E-3</v>
      </c>
      <c r="AA346" s="1">
        <v>5.74813551967818</v>
      </c>
      <c r="AB346" s="1">
        <v>6.8</v>
      </c>
      <c r="AC346" s="1">
        <v>25</v>
      </c>
      <c r="AD346" s="1" t="s">
        <v>75</v>
      </c>
      <c r="AE346" s="1">
        <v>5</v>
      </c>
      <c r="AH346" s="1">
        <v>0.42303328122148698</v>
      </c>
      <c r="AJ346" s="1">
        <f t="shared" si="51"/>
        <v>0.57696671877851302</v>
      </c>
      <c r="AK346" s="1">
        <f t="shared" si="50"/>
        <v>-0.54997069389752162</v>
      </c>
      <c r="AM346">
        <v>46</v>
      </c>
      <c r="AN346">
        <f>IF(ISNUMBER(AJ346),IF(AJ346&gt;=0.05,1,0),"")</f>
        <v>1</v>
      </c>
      <c r="AO346">
        <f>IF(ISNUMBER(AJ346),IF(AJ346&lt;0.005,1,0),"")</f>
        <v>0</v>
      </c>
      <c r="AQ346" s="34"/>
      <c r="AR346" s="35"/>
      <c r="AS346" s="36"/>
    </row>
    <row r="347" spans="1:45" ht="42.75" x14ac:dyDescent="0.45">
      <c r="A347" s="1" t="s">
        <v>76</v>
      </c>
      <c r="B347" s="1" t="s">
        <v>69</v>
      </c>
      <c r="C347" s="1">
        <v>106</v>
      </c>
      <c r="D347" s="1">
        <v>250.28</v>
      </c>
      <c r="E347" s="1">
        <v>-0.1</v>
      </c>
      <c r="F347" s="1">
        <v>1.57</v>
      </c>
      <c r="G347" s="1">
        <v>1.93</v>
      </c>
      <c r="H347" s="1">
        <v>0.87</v>
      </c>
      <c r="I347" s="1">
        <v>0.86</v>
      </c>
      <c r="J347" s="1">
        <v>1.49</v>
      </c>
      <c r="K347" s="1" t="s">
        <v>67</v>
      </c>
      <c r="M347" s="1">
        <v>0.42</v>
      </c>
      <c r="N347" s="1">
        <v>1.1499999999999999</v>
      </c>
      <c r="P347" s="1">
        <v>7.2</v>
      </c>
      <c r="Q347" s="1">
        <v>35.5</v>
      </c>
      <c r="R347" s="1" t="s">
        <v>63</v>
      </c>
      <c r="S347" s="1">
        <v>307.27999999999997</v>
      </c>
      <c r="T347" s="1">
        <v>377</v>
      </c>
      <c r="U347" s="1">
        <v>1.82</v>
      </c>
      <c r="V347" s="1">
        <v>9.4</v>
      </c>
      <c r="W347" s="1">
        <v>0.1</v>
      </c>
      <c r="X347" s="1">
        <f t="shared" si="56"/>
        <v>100</v>
      </c>
      <c r="Y347" s="1">
        <v>3.3000000000000002E-2</v>
      </c>
      <c r="Z347" s="1">
        <v>8.0000000000000002E-3</v>
      </c>
      <c r="AA347" s="1">
        <v>8.5653146666506395</v>
      </c>
      <c r="AB347" s="1">
        <v>6.8</v>
      </c>
      <c r="AC347" s="1">
        <v>25</v>
      </c>
      <c r="AD347" s="1" t="s">
        <v>75</v>
      </c>
      <c r="AE347" s="1">
        <v>5</v>
      </c>
      <c r="AH347" s="1">
        <v>0.51779719771018007</v>
      </c>
      <c r="AJ347" s="1">
        <f t="shared" si="51"/>
        <v>0.48220280228981993</v>
      </c>
      <c r="AK347" s="1">
        <f t="shared" si="50"/>
        <v>-0.72939050178405584</v>
      </c>
      <c r="AM347">
        <v>46</v>
      </c>
      <c r="AN347">
        <f>IF(ISNUMBER(AJ347),IF(AJ347&gt;=0.05,1,0),"")</f>
        <v>1</v>
      </c>
      <c r="AO347">
        <f>IF(ISNUMBER(AJ347),IF(AJ347&lt;0.005,1,0),"")</f>
        <v>0</v>
      </c>
      <c r="AQ347" s="34"/>
      <c r="AR347" s="35"/>
      <c r="AS347" s="36"/>
    </row>
    <row r="348" spans="1:45" ht="42.75" x14ac:dyDescent="0.45">
      <c r="A348" s="1" t="s">
        <v>76</v>
      </c>
      <c r="B348" s="1" t="s">
        <v>69</v>
      </c>
      <c r="C348" s="1">
        <v>106</v>
      </c>
      <c r="D348" s="1">
        <v>250.28</v>
      </c>
      <c r="E348" s="1">
        <v>-0.1</v>
      </c>
      <c r="F348" s="1">
        <v>1.57</v>
      </c>
      <c r="G348" s="1">
        <v>1.93</v>
      </c>
      <c r="H348" s="1">
        <v>0.87</v>
      </c>
      <c r="I348" s="1">
        <v>0.86</v>
      </c>
      <c r="J348" s="1">
        <v>1.49</v>
      </c>
      <c r="K348" s="1" t="s">
        <v>67</v>
      </c>
      <c r="M348" s="1">
        <v>0.42</v>
      </c>
      <c r="N348" s="1">
        <v>1.1499999999999999</v>
      </c>
      <c r="P348" s="1">
        <v>7.2</v>
      </c>
      <c r="Q348" s="1">
        <v>35.5</v>
      </c>
      <c r="R348" s="1" t="s">
        <v>63</v>
      </c>
      <c r="S348" s="1">
        <v>307.27999999999997</v>
      </c>
      <c r="T348" s="1">
        <v>377</v>
      </c>
      <c r="U348" s="1">
        <v>1.82</v>
      </c>
      <c r="V348" s="1">
        <v>9.4</v>
      </c>
      <c r="W348" s="1">
        <v>0.1</v>
      </c>
      <c r="X348" s="1">
        <f t="shared" si="56"/>
        <v>100</v>
      </c>
      <c r="Y348" s="1">
        <v>3.3000000000000002E-2</v>
      </c>
      <c r="Z348" s="1">
        <v>8.0000000000000002E-3</v>
      </c>
      <c r="AA348" s="1">
        <v>11.404332411661599</v>
      </c>
      <c r="AB348" s="1">
        <v>6.8</v>
      </c>
      <c r="AC348" s="1">
        <v>25</v>
      </c>
      <c r="AD348" s="1" t="s">
        <v>75</v>
      </c>
      <c r="AE348" s="1">
        <v>5</v>
      </c>
      <c r="AH348" s="1">
        <v>0.62940803268574896</v>
      </c>
      <c r="AJ348" s="1">
        <f t="shared" si="51"/>
        <v>0.37059196731425104</v>
      </c>
      <c r="AK348" s="1">
        <f t="shared" si="50"/>
        <v>-0.99265364017891788</v>
      </c>
      <c r="AM348">
        <v>46</v>
      </c>
      <c r="AN348">
        <f>IF(ISNUMBER(AJ348),IF(AJ348&gt;=0.05,1,0),"")</f>
        <v>1</v>
      </c>
      <c r="AO348">
        <f>IF(ISNUMBER(AJ348),IF(AJ348&lt;0.005,1,0),"")</f>
        <v>0</v>
      </c>
      <c r="AQ348" s="34"/>
      <c r="AR348" s="35"/>
      <c r="AS348" s="36"/>
    </row>
    <row r="349" spans="1:45" ht="57" x14ac:dyDescent="0.45">
      <c r="A349" s="1" t="s">
        <v>80</v>
      </c>
      <c r="B349" s="1" t="s">
        <v>81</v>
      </c>
      <c r="C349" s="1">
        <v>182</v>
      </c>
      <c r="D349" s="1">
        <v>444.44</v>
      </c>
      <c r="E349" s="1">
        <v>-1.3</v>
      </c>
      <c r="F349" s="1">
        <v>3.5</v>
      </c>
      <c r="G349" s="1">
        <v>3.6</v>
      </c>
      <c r="H349" s="1">
        <v>1.35</v>
      </c>
      <c r="I349" s="1">
        <v>3.29</v>
      </c>
      <c r="J349" s="1">
        <v>3.0992000000000002</v>
      </c>
      <c r="K349" s="1" t="s">
        <v>50</v>
      </c>
      <c r="R349" s="1" t="s">
        <v>82</v>
      </c>
      <c r="S349" s="1">
        <v>238.11</v>
      </c>
      <c r="T349" s="1">
        <v>92</v>
      </c>
      <c r="U349" s="1">
        <v>2.08</v>
      </c>
      <c r="V349" s="1">
        <v>-6.26</v>
      </c>
      <c r="W349" s="1">
        <v>0.3</v>
      </c>
      <c r="X349" s="1">
        <f t="shared" si="56"/>
        <v>300</v>
      </c>
      <c r="Y349" s="1">
        <v>6.3</v>
      </c>
      <c r="Z349" s="1">
        <v>0.11</v>
      </c>
      <c r="AA349" s="1">
        <v>0.45108208955225099</v>
      </c>
      <c r="AB349" s="1">
        <v>3.5</v>
      </c>
      <c r="AC349" s="1">
        <v>25</v>
      </c>
      <c r="AH349" s="1">
        <v>-4.746216088070021E-3</v>
      </c>
      <c r="AI349" s="1">
        <v>2.7034105982176067E-4</v>
      </c>
      <c r="AJ349" s="1">
        <f>IF(ISNUMBER(AH349),1-AH349,"")</f>
        <v>1.00474621608807</v>
      </c>
      <c r="AK349" s="1">
        <f>IF(AND(ISNUMBER(AJ349),AJ349&gt;0),LN(AJ349),"")</f>
        <v>4.7349883167627418E-3</v>
      </c>
      <c r="AM349">
        <v>47</v>
      </c>
      <c r="AN349">
        <f>IF(ISNUMBER(AJ349),IF(AJ349&gt;=0.05,1,0),"")</f>
        <v>1</v>
      </c>
      <c r="AO349">
        <f>IF(ISNUMBER(AJ349),IF(AJ349&lt;0.005,1,0),"")</f>
        <v>0</v>
      </c>
      <c r="AP349">
        <f>IFERROR(MATCH(0,AN349:AN356,0)-1,8)</f>
        <v>8</v>
      </c>
      <c r="AQ349" s="34">
        <f>IF(AP349&lt;3,"n&lt;3",IFERROR(-SLOPE(AK349:INDEX(AK349:AK356,AP349),AA349:INDEX(AA349:AA356,AP349)),"no fit"))</f>
        <v>2.6701630002391768E-4</v>
      </c>
      <c r="AR349" s="35">
        <f>IF(AP349&lt;3,"",IFERROR(RSQ(AK349:INDEX(AK349:AK356,AP349),AA349:INDEX(AA349:AA356,AP349)),"flat"))</f>
        <v>0.96289416843215758</v>
      </c>
      <c r="AS349" s="36">
        <f>IFERROR(AQ349/AI349,"")</f>
        <v>0.98770160995878664</v>
      </c>
    </row>
    <row r="350" spans="1:45" ht="57" x14ac:dyDescent="0.45">
      <c r="A350" s="1" t="s">
        <v>80</v>
      </c>
      <c r="B350" s="1" t="s">
        <v>81</v>
      </c>
      <c r="C350" s="1">
        <v>182</v>
      </c>
      <c r="D350" s="1">
        <v>444.44</v>
      </c>
      <c r="E350" s="1">
        <v>-1.3</v>
      </c>
      <c r="F350" s="1">
        <v>3.5</v>
      </c>
      <c r="G350" s="1">
        <v>3.6</v>
      </c>
      <c r="H350" s="1">
        <v>1.35</v>
      </c>
      <c r="I350" s="1">
        <v>3.29</v>
      </c>
      <c r="J350" s="1">
        <v>3.0992000000000002</v>
      </c>
      <c r="K350" s="1" t="s">
        <v>50</v>
      </c>
      <c r="R350" s="1" t="s">
        <v>82</v>
      </c>
      <c r="S350" s="1">
        <v>238.11</v>
      </c>
      <c r="T350" s="1">
        <v>92</v>
      </c>
      <c r="U350" s="1">
        <v>2.08</v>
      </c>
      <c r="V350" s="1">
        <v>-6.26</v>
      </c>
      <c r="W350" s="1">
        <v>0.3</v>
      </c>
      <c r="X350" s="1">
        <f t="shared" si="56"/>
        <v>300</v>
      </c>
      <c r="Y350" s="1">
        <v>6.3</v>
      </c>
      <c r="Z350" s="1">
        <v>0.11</v>
      </c>
      <c r="AA350" s="1">
        <v>9.9849253731343399</v>
      </c>
      <c r="AB350" s="1">
        <v>3.5</v>
      </c>
      <c r="AC350" s="1">
        <v>25</v>
      </c>
      <c r="AH350" s="1">
        <v>-8.4653660089006877E-4</v>
      </c>
      <c r="AJ350" s="1">
        <f>IF(ISNUMBER(AH350),1-AH350,"")</f>
        <v>1.0008465366008901</v>
      </c>
      <c r="AK350" s="1">
        <f>IF(AND(ISNUMBER(AJ350),AJ350&gt;0),LN(AJ350),"")</f>
        <v>8.4617849086965433E-4</v>
      </c>
      <c r="AM350">
        <v>47</v>
      </c>
      <c r="AN350">
        <f>IF(ISNUMBER(AJ350),IF(AJ350&gt;=0.05,1,0),"")</f>
        <v>1</v>
      </c>
      <c r="AO350">
        <f>IF(ISNUMBER(AJ350),IF(AJ350&lt;0.005,1,0),"")</f>
        <v>0</v>
      </c>
      <c r="AQ350" s="34"/>
      <c r="AR350" s="35"/>
      <c r="AS350" s="36"/>
    </row>
    <row r="351" spans="1:45" ht="57" x14ac:dyDescent="0.45">
      <c r="A351" s="1" t="s">
        <v>80</v>
      </c>
      <c r="B351" s="1" t="s">
        <v>81</v>
      </c>
      <c r="C351" s="1">
        <v>182</v>
      </c>
      <c r="D351" s="1">
        <v>444.44</v>
      </c>
      <c r="E351" s="1">
        <v>-1.3</v>
      </c>
      <c r="F351" s="1">
        <v>3.5</v>
      </c>
      <c r="G351" s="1">
        <v>3.6</v>
      </c>
      <c r="H351" s="1">
        <v>1.35</v>
      </c>
      <c r="I351" s="1">
        <v>3.29</v>
      </c>
      <c r="J351" s="1">
        <v>3.0992000000000002</v>
      </c>
      <c r="K351" s="1" t="s">
        <v>50</v>
      </c>
      <c r="R351" s="1" t="s">
        <v>82</v>
      </c>
      <c r="S351" s="1">
        <v>238.11</v>
      </c>
      <c r="T351" s="1">
        <v>92</v>
      </c>
      <c r="U351" s="1">
        <v>2.08</v>
      </c>
      <c r="V351" s="1">
        <v>-6.26</v>
      </c>
      <c r="W351" s="1">
        <v>0.3</v>
      </c>
      <c r="X351" s="1">
        <f t="shared" si="56"/>
        <v>300</v>
      </c>
      <c r="Y351" s="1">
        <v>6.3</v>
      </c>
      <c r="Z351" s="1">
        <v>0.11</v>
      </c>
      <c r="AA351" s="1">
        <v>19.291772388059702</v>
      </c>
      <c r="AB351" s="1">
        <v>3.5</v>
      </c>
      <c r="AC351" s="1">
        <v>25</v>
      </c>
      <c r="AH351" s="1">
        <v>-2.7963763444800449E-3</v>
      </c>
      <c r="AJ351" s="1">
        <f>IF(ISNUMBER(AH351),1-AH351,"")</f>
        <v>1.00279637634448</v>
      </c>
      <c r="AK351" s="1">
        <f>IF(AND(ISNUMBER(AJ351),AJ351&gt;0),LN(AJ351),"")</f>
        <v>2.7924737578577971E-3</v>
      </c>
      <c r="AM351">
        <v>47</v>
      </c>
      <c r="AN351">
        <f>IF(ISNUMBER(AJ351),IF(AJ351&gt;=0.05,1,0),"")</f>
        <v>1</v>
      </c>
      <c r="AO351">
        <f>IF(ISNUMBER(AJ351),IF(AJ351&lt;0.005,1,0),"")</f>
        <v>0</v>
      </c>
      <c r="AQ351" s="34"/>
      <c r="AR351" s="35"/>
      <c r="AS351" s="36"/>
    </row>
    <row r="352" spans="1:45" ht="57" x14ac:dyDescent="0.45">
      <c r="A352" s="1" t="s">
        <v>80</v>
      </c>
      <c r="B352" s="1" t="s">
        <v>81</v>
      </c>
      <c r="C352" s="1">
        <v>182</v>
      </c>
      <c r="D352" s="1">
        <v>444.44</v>
      </c>
      <c r="E352" s="1">
        <v>-1.3</v>
      </c>
      <c r="F352" s="1">
        <v>3.5</v>
      </c>
      <c r="G352" s="1">
        <v>3.6</v>
      </c>
      <c r="H352" s="1">
        <v>1.35</v>
      </c>
      <c r="I352" s="1">
        <v>3.29</v>
      </c>
      <c r="J352" s="1">
        <v>3.0992000000000002</v>
      </c>
      <c r="K352" s="1" t="s">
        <v>50</v>
      </c>
      <c r="R352" s="1" t="s">
        <v>82</v>
      </c>
      <c r="S352" s="1">
        <v>238.11</v>
      </c>
      <c r="T352" s="1">
        <v>92</v>
      </c>
      <c r="U352" s="1">
        <v>2.08</v>
      </c>
      <c r="V352" s="1">
        <v>-6.26</v>
      </c>
      <c r="W352" s="1">
        <v>0.3</v>
      </c>
      <c r="X352" s="1">
        <f t="shared" si="56"/>
        <v>300</v>
      </c>
      <c r="Y352" s="1">
        <v>6.3</v>
      </c>
      <c r="Z352" s="1">
        <v>0.11</v>
      </c>
      <c r="AA352" s="1">
        <v>38.813451492537297</v>
      </c>
      <c r="AB352" s="1">
        <v>3.5</v>
      </c>
      <c r="AC352" s="1">
        <v>25</v>
      </c>
      <c r="AH352" s="1">
        <v>5.0029826298739755E-3</v>
      </c>
      <c r="AJ352" s="1">
        <f>IF(ISNUMBER(AH352),1-AH352,"")</f>
        <v>0.99499701737012602</v>
      </c>
      <c r="AK352" s="1">
        <f>IF(AND(ISNUMBER(AJ352),AJ352&gt;0),LN(AJ352),"")</f>
        <v>-5.0155394460009422E-3</v>
      </c>
      <c r="AM352">
        <v>47</v>
      </c>
      <c r="AN352">
        <f>IF(ISNUMBER(AJ352),IF(AJ352&gt;=0.05,1,0),"")</f>
        <v>1</v>
      </c>
      <c r="AO352">
        <f>IF(ISNUMBER(AJ352),IF(AJ352&lt;0.005,1,0),"")</f>
        <v>0</v>
      </c>
      <c r="AQ352" s="34"/>
      <c r="AR352" s="35"/>
      <c r="AS352" s="36"/>
    </row>
    <row r="353" spans="1:45" ht="57" x14ac:dyDescent="0.45">
      <c r="A353" s="1" t="s">
        <v>80</v>
      </c>
      <c r="B353" s="1" t="s">
        <v>81</v>
      </c>
      <c r="C353" s="1">
        <v>182</v>
      </c>
      <c r="D353" s="1">
        <v>444.44</v>
      </c>
      <c r="E353" s="1">
        <v>-1.3</v>
      </c>
      <c r="F353" s="1">
        <v>3.5</v>
      </c>
      <c r="G353" s="1">
        <v>3.6</v>
      </c>
      <c r="H353" s="1">
        <v>1.35</v>
      </c>
      <c r="I353" s="1">
        <v>3.29</v>
      </c>
      <c r="J353" s="1">
        <v>3.0992000000000002</v>
      </c>
      <c r="K353" s="1" t="s">
        <v>50</v>
      </c>
      <c r="R353" s="1" t="s">
        <v>82</v>
      </c>
      <c r="S353" s="1">
        <v>238.11</v>
      </c>
      <c r="T353" s="1">
        <v>92</v>
      </c>
      <c r="U353" s="1">
        <v>2.08</v>
      </c>
      <c r="V353" s="1">
        <v>-6.26</v>
      </c>
      <c r="W353" s="1">
        <v>0.3</v>
      </c>
      <c r="X353" s="1">
        <f t="shared" si="56"/>
        <v>300</v>
      </c>
      <c r="Y353" s="1">
        <v>6.3</v>
      </c>
      <c r="Z353" s="1">
        <v>0.11</v>
      </c>
      <c r="AA353" s="1">
        <v>58.108134328358197</v>
      </c>
      <c r="AB353" s="1">
        <v>3.5</v>
      </c>
      <c r="AC353" s="1">
        <v>25</v>
      </c>
      <c r="AH353" s="1">
        <v>5.0029826298739755E-3</v>
      </c>
      <c r="AJ353" s="1">
        <f>IF(ISNUMBER(AH353),1-AH353,"")</f>
        <v>0.99499701737012602</v>
      </c>
      <c r="AK353" s="1">
        <f>IF(AND(ISNUMBER(AJ353),AJ353&gt;0),LN(AJ353),"")</f>
        <v>-5.0155394460009422E-3</v>
      </c>
      <c r="AM353">
        <v>47</v>
      </c>
      <c r="AN353">
        <f>IF(ISNUMBER(AJ353),IF(AJ353&gt;=0.05,1,0),"")</f>
        <v>1</v>
      </c>
      <c r="AO353">
        <f>IF(ISNUMBER(AJ353),IF(AJ353&lt;0.005,1,0),"")</f>
        <v>0</v>
      </c>
      <c r="AQ353" s="34"/>
      <c r="AR353" s="35"/>
      <c r="AS353" s="36"/>
    </row>
    <row r="354" spans="1:45" ht="57" x14ac:dyDescent="0.45">
      <c r="A354" s="1" t="s">
        <v>80</v>
      </c>
      <c r="B354" s="1" t="s">
        <v>81</v>
      </c>
      <c r="C354" s="1">
        <v>182</v>
      </c>
      <c r="D354" s="1">
        <v>444.44</v>
      </c>
      <c r="E354" s="1">
        <v>-1.3</v>
      </c>
      <c r="F354" s="1">
        <v>3.5</v>
      </c>
      <c r="G354" s="1">
        <v>3.6</v>
      </c>
      <c r="H354" s="1">
        <v>1.35</v>
      </c>
      <c r="I354" s="1">
        <v>3.29</v>
      </c>
      <c r="J354" s="1">
        <v>3.0992000000000002</v>
      </c>
      <c r="K354" s="1" t="s">
        <v>50</v>
      </c>
      <c r="R354" s="1" t="s">
        <v>82</v>
      </c>
      <c r="S354" s="1">
        <v>238.11</v>
      </c>
      <c r="T354" s="1">
        <v>92</v>
      </c>
      <c r="U354" s="1">
        <v>2.08</v>
      </c>
      <c r="V354" s="1">
        <v>-6.26</v>
      </c>
      <c r="W354" s="1">
        <v>0.3</v>
      </c>
      <c r="X354" s="1">
        <f t="shared" si="56"/>
        <v>300</v>
      </c>
      <c r="Y354" s="1">
        <v>6.3</v>
      </c>
      <c r="Z354" s="1">
        <v>0.11</v>
      </c>
      <c r="AA354" s="1">
        <v>77.856809701492494</v>
      </c>
      <c r="AB354" s="1">
        <v>3.5</v>
      </c>
      <c r="AC354" s="1">
        <v>25</v>
      </c>
      <c r="AH354" s="1">
        <v>1.4752181347822968E-2</v>
      </c>
      <c r="AJ354" s="1">
        <f>IF(ISNUMBER(AH354),1-AH354,"")</f>
        <v>0.98524781865217703</v>
      </c>
      <c r="AK354" s="1">
        <f>IF(AND(ISNUMBER(AJ354),AJ354&gt;0),LN(AJ354),"")</f>
        <v>-1.4862076913862581E-2</v>
      </c>
      <c r="AM354">
        <v>47</v>
      </c>
      <c r="AN354">
        <f>IF(ISNUMBER(AJ354),IF(AJ354&gt;=0.05,1,0),"")</f>
        <v>1</v>
      </c>
      <c r="AO354">
        <f>IF(ISNUMBER(AJ354),IF(AJ354&lt;0.005,1,0),"")</f>
        <v>0</v>
      </c>
      <c r="AQ354" s="34"/>
      <c r="AR354" s="35"/>
      <c r="AS354" s="36"/>
    </row>
    <row r="355" spans="1:45" ht="57" x14ac:dyDescent="0.45">
      <c r="A355" s="1" t="s">
        <v>80</v>
      </c>
      <c r="B355" s="1" t="s">
        <v>81</v>
      </c>
      <c r="C355" s="1">
        <v>182</v>
      </c>
      <c r="D355" s="1">
        <v>444.44</v>
      </c>
      <c r="E355" s="1">
        <v>-1.3</v>
      </c>
      <c r="F355" s="1">
        <v>3.5</v>
      </c>
      <c r="G355" s="1">
        <v>3.6</v>
      </c>
      <c r="H355" s="1">
        <v>1.35</v>
      </c>
      <c r="I355" s="1">
        <v>3.29</v>
      </c>
      <c r="J355" s="1">
        <v>3.0992000000000002</v>
      </c>
      <c r="K355" s="1" t="s">
        <v>50</v>
      </c>
      <c r="R355" s="1" t="s">
        <v>82</v>
      </c>
      <c r="S355" s="1">
        <v>238.11</v>
      </c>
      <c r="T355" s="1">
        <v>92</v>
      </c>
      <c r="U355" s="1">
        <v>2.08</v>
      </c>
      <c r="V355" s="1">
        <v>-6.26</v>
      </c>
      <c r="W355" s="1">
        <v>0.3</v>
      </c>
      <c r="X355" s="1">
        <f t="shared" si="56"/>
        <v>300</v>
      </c>
      <c r="Y355" s="1">
        <v>6.3</v>
      </c>
      <c r="Z355" s="1">
        <v>0.11</v>
      </c>
      <c r="AA355" s="1">
        <v>97.605485074626799</v>
      </c>
      <c r="AB355" s="1">
        <v>3.5</v>
      </c>
      <c r="AC355" s="1">
        <v>25</v>
      </c>
      <c r="AH355" s="1">
        <v>2.0601700578592008E-2</v>
      </c>
      <c r="AJ355" s="1">
        <f>IF(ISNUMBER(AH355),1-AH355,"")</f>
        <v>0.97939829942140799</v>
      </c>
      <c r="AK355" s="1">
        <f>IF(AND(ISNUMBER(AJ355),AJ355&gt;0),LN(AJ355),"")</f>
        <v>-2.081687606277487E-2</v>
      </c>
      <c r="AM355">
        <v>47</v>
      </c>
      <c r="AN355">
        <f>IF(ISNUMBER(AJ355),IF(AJ355&gt;=0.05,1,0),"")</f>
        <v>1</v>
      </c>
      <c r="AO355">
        <f>IF(ISNUMBER(AJ355),IF(AJ355&lt;0.005,1,0),"")</f>
        <v>0</v>
      </c>
      <c r="AQ355" s="34"/>
      <c r="AR355" s="35"/>
      <c r="AS355" s="36"/>
    </row>
    <row r="356" spans="1:45" ht="57" x14ac:dyDescent="0.45">
      <c r="A356" s="1" t="s">
        <v>80</v>
      </c>
      <c r="B356" s="1" t="s">
        <v>81</v>
      </c>
      <c r="C356" s="1">
        <v>182</v>
      </c>
      <c r="D356" s="1">
        <v>444.44</v>
      </c>
      <c r="E356" s="1">
        <v>-1.3</v>
      </c>
      <c r="F356" s="1">
        <v>3.5</v>
      </c>
      <c r="G356" s="1">
        <v>3.6</v>
      </c>
      <c r="H356" s="1">
        <v>1.35</v>
      </c>
      <c r="I356" s="1">
        <v>3.29</v>
      </c>
      <c r="J356" s="1">
        <v>3.0992000000000002</v>
      </c>
      <c r="K356" s="1" t="s">
        <v>50</v>
      </c>
      <c r="R356" s="1" t="s">
        <v>82</v>
      </c>
      <c r="S356" s="1">
        <v>238.11</v>
      </c>
      <c r="T356" s="1">
        <v>92</v>
      </c>
      <c r="U356" s="1">
        <v>2.08</v>
      </c>
      <c r="V356" s="1">
        <v>-6.26</v>
      </c>
      <c r="W356" s="1">
        <v>0.3</v>
      </c>
      <c r="X356" s="1">
        <f t="shared" si="56"/>
        <v>300</v>
      </c>
      <c r="Y356" s="1">
        <v>6.3</v>
      </c>
      <c r="Z356" s="1">
        <v>0.11</v>
      </c>
      <c r="AA356" s="1">
        <v>117.127164179104</v>
      </c>
      <c r="AB356" s="1">
        <v>3.5</v>
      </c>
      <c r="AC356" s="1">
        <v>25</v>
      </c>
      <c r="AH356" s="1">
        <v>2.6451219809361048E-2</v>
      </c>
      <c r="AJ356" s="1">
        <f>IF(ISNUMBER(AH356),1-AH356,"")</f>
        <v>0.97354878019063895</v>
      </c>
      <c r="AK356" s="1">
        <f>IF(AND(ISNUMBER(AJ356),AJ356&gt;0),LN(AJ356),"")</f>
        <v>-2.6807347371177424E-2</v>
      </c>
      <c r="AM356">
        <v>47</v>
      </c>
      <c r="AN356">
        <f>IF(ISNUMBER(AJ356),IF(AJ356&gt;=0.05,1,0),"")</f>
        <v>1</v>
      </c>
      <c r="AO356">
        <f>IF(ISNUMBER(AJ356),IF(AJ356&lt;0.005,1,0),"")</f>
        <v>0</v>
      </c>
      <c r="AQ356" s="34"/>
      <c r="AR356" s="35"/>
      <c r="AS356" s="36"/>
    </row>
    <row r="357" spans="1:45" ht="57" x14ac:dyDescent="0.45">
      <c r="A357" s="1" t="s">
        <v>80</v>
      </c>
      <c r="B357" s="1" t="s">
        <v>81</v>
      </c>
      <c r="C357" s="1">
        <v>182</v>
      </c>
      <c r="D357" s="1">
        <v>444.44</v>
      </c>
      <c r="E357" s="1">
        <v>-1.3</v>
      </c>
      <c r="F357" s="1">
        <v>3.5</v>
      </c>
      <c r="G357" s="1">
        <v>3.6</v>
      </c>
      <c r="H357" s="1">
        <v>1.35</v>
      </c>
      <c r="I357" s="1">
        <v>3.29</v>
      </c>
      <c r="J357" s="1">
        <v>3.0992000000000002</v>
      </c>
      <c r="K357" s="1" t="s">
        <v>49</v>
      </c>
      <c r="N357" s="1">
        <v>24.82</v>
      </c>
      <c r="O357" s="1">
        <v>0.1918</v>
      </c>
      <c r="Q357" s="1">
        <v>35.5</v>
      </c>
      <c r="R357" s="1" t="s">
        <v>82</v>
      </c>
      <c r="S357" s="1">
        <v>238.11</v>
      </c>
      <c r="T357" s="1">
        <v>92</v>
      </c>
      <c r="U357" s="1">
        <v>2.08</v>
      </c>
      <c r="V357" s="1">
        <v>-6.26</v>
      </c>
      <c r="W357" s="1">
        <v>0.3</v>
      </c>
      <c r="X357" s="1">
        <f t="shared" si="56"/>
        <v>300</v>
      </c>
      <c r="Y357" s="1">
        <v>6.3</v>
      </c>
      <c r="Z357" s="1">
        <v>0.11</v>
      </c>
      <c r="AA357" s="1">
        <v>1.1320708955223999</v>
      </c>
      <c r="AB357" s="1">
        <v>3.5</v>
      </c>
      <c r="AC357" s="1">
        <v>25</v>
      </c>
      <c r="AH357" s="1">
        <v>-4.746216088070021E-3</v>
      </c>
      <c r="AI357" s="1">
        <v>1.1876570926499238E-2</v>
      </c>
      <c r="AJ357" s="1">
        <f>IF(ISNUMBER(AH357),1-AH357,"")</f>
        <v>1.00474621608807</v>
      </c>
      <c r="AK357" s="1">
        <f>IF(AND(ISNUMBER(AJ357),AJ357&gt;0),LN(AJ357),"")</f>
        <v>4.7349883167627418E-3</v>
      </c>
      <c r="AM357">
        <v>48</v>
      </c>
      <c r="AN357">
        <f>IF(ISNUMBER(AJ357),IF(AJ357&gt;=0.05,1,0),"")</f>
        <v>1</v>
      </c>
      <c r="AO357">
        <f>IF(ISNUMBER(AJ357),IF(AJ357&lt;0.005,1,0),"")</f>
        <v>0</v>
      </c>
      <c r="AP357">
        <f>IFERROR(MATCH(0,AN357:AN364,0)-1,8)</f>
        <v>8</v>
      </c>
      <c r="AQ357" s="34">
        <f>IF(AP357&lt;3,"n&lt;3",IFERROR(-SLOPE(AK357:INDEX(AK357:AK364,AP357),AA357:INDEX(AA357:AA364,AP357)),"no fit"))</f>
        <v>1.2879122859346595E-2</v>
      </c>
      <c r="AR357" s="35">
        <f>IF(AP357&lt;3,"",IFERROR(RSQ(AK357:INDEX(AK357:AK364,AP357),AA357:INDEX(AA357:AA364,AP357)),"flat"))</f>
        <v>0.97693661865261705</v>
      </c>
      <c r="AS357" s="36">
        <f>IFERROR(AQ357/AI357,"")</f>
        <v>1.0844142588843084</v>
      </c>
    </row>
    <row r="358" spans="1:45" ht="57" x14ac:dyDescent="0.45">
      <c r="A358" s="1" t="s">
        <v>80</v>
      </c>
      <c r="B358" s="1" t="s">
        <v>81</v>
      </c>
      <c r="C358" s="1">
        <v>182</v>
      </c>
      <c r="D358" s="1">
        <v>444.44</v>
      </c>
      <c r="E358" s="1">
        <v>-1.3</v>
      </c>
      <c r="F358" s="1">
        <v>3.5</v>
      </c>
      <c r="G358" s="1">
        <v>3.6</v>
      </c>
      <c r="H358" s="1">
        <v>1.35</v>
      </c>
      <c r="I358" s="1">
        <v>3.29</v>
      </c>
      <c r="J358" s="1">
        <v>3.0992000000000002</v>
      </c>
      <c r="K358" s="1" t="s">
        <v>49</v>
      </c>
      <c r="N358" s="1">
        <v>24.82</v>
      </c>
      <c r="O358" s="1">
        <v>0.1918</v>
      </c>
      <c r="Q358" s="1">
        <v>35.5</v>
      </c>
      <c r="R358" s="1" t="s">
        <v>82</v>
      </c>
      <c r="S358" s="1">
        <v>238.11</v>
      </c>
      <c r="T358" s="1">
        <v>92</v>
      </c>
      <c r="U358" s="1">
        <v>2.08</v>
      </c>
      <c r="V358" s="1">
        <v>-6.26</v>
      </c>
      <c r="W358" s="1">
        <v>0.3</v>
      </c>
      <c r="X358" s="1">
        <f t="shared" si="56"/>
        <v>300</v>
      </c>
      <c r="Y358" s="1">
        <v>6.3</v>
      </c>
      <c r="Z358" s="1">
        <v>0.11</v>
      </c>
      <c r="AA358" s="1">
        <v>10.211921641790999</v>
      </c>
      <c r="AB358" s="1">
        <v>3.5</v>
      </c>
      <c r="AC358" s="1">
        <v>25</v>
      </c>
      <c r="AH358" s="1">
        <v>9.4695610835001998E-2</v>
      </c>
      <c r="AJ358" s="1">
        <f>IF(ISNUMBER(AH358),1-AH358,"")</f>
        <v>0.905304389164998</v>
      </c>
      <c r="AK358" s="1">
        <f>IF(AND(ISNUMBER(AJ358),AJ358&gt;0),LN(AJ358),"")</f>
        <v>-9.9484050213591108E-2</v>
      </c>
      <c r="AM358">
        <v>48</v>
      </c>
      <c r="AN358">
        <f>IF(ISNUMBER(AJ358),IF(AJ358&gt;=0.05,1,0),"")</f>
        <v>1</v>
      </c>
      <c r="AO358">
        <f>IF(ISNUMBER(AJ358),IF(AJ358&lt;0.005,1,0),"")</f>
        <v>0</v>
      </c>
      <c r="AQ358" s="34"/>
      <c r="AR358" s="35"/>
      <c r="AS358" s="36"/>
    </row>
    <row r="359" spans="1:45" ht="57" x14ac:dyDescent="0.45">
      <c r="A359" s="1" t="s">
        <v>80</v>
      </c>
      <c r="B359" s="1" t="s">
        <v>81</v>
      </c>
      <c r="C359" s="1">
        <v>182</v>
      </c>
      <c r="D359" s="1">
        <v>444.44</v>
      </c>
      <c r="E359" s="1">
        <v>-1.3</v>
      </c>
      <c r="F359" s="1">
        <v>3.5</v>
      </c>
      <c r="G359" s="1">
        <v>3.6</v>
      </c>
      <c r="H359" s="1">
        <v>1.35</v>
      </c>
      <c r="I359" s="1">
        <v>3.29</v>
      </c>
      <c r="J359" s="1">
        <v>3.0992000000000002</v>
      </c>
      <c r="K359" s="1" t="s">
        <v>49</v>
      </c>
      <c r="N359" s="1">
        <v>24.82</v>
      </c>
      <c r="O359" s="1">
        <v>0.1918</v>
      </c>
      <c r="Q359" s="1">
        <v>35.5</v>
      </c>
      <c r="R359" s="1" t="s">
        <v>82</v>
      </c>
      <c r="S359" s="1">
        <v>238.11</v>
      </c>
      <c r="T359" s="1">
        <v>92</v>
      </c>
      <c r="U359" s="1">
        <v>2.08</v>
      </c>
      <c r="V359" s="1">
        <v>-6.26</v>
      </c>
      <c r="W359" s="1">
        <v>0.3</v>
      </c>
      <c r="X359" s="1">
        <f t="shared" si="56"/>
        <v>300</v>
      </c>
      <c r="Y359" s="1">
        <v>6.3</v>
      </c>
      <c r="Z359" s="1">
        <v>0.11</v>
      </c>
      <c r="AA359" s="1">
        <v>19.5187686567164</v>
      </c>
      <c r="AB359" s="1">
        <v>3.5</v>
      </c>
      <c r="AC359" s="1">
        <v>25</v>
      </c>
      <c r="AH359" s="1">
        <v>0.17853871980936198</v>
      </c>
      <c r="AJ359" s="1">
        <f>IF(ISNUMBER(AH359),1-AH359,"")</f>
        <v>0.82146128019063802</v>
      </c>
      <c r="AK359" s="1">
        <f>IF(AND(ISNUMBER(AJ359),AJ359&gt;0),LN(AJ359),"")</f>
        <v>-0.19667047567630816</v>
      </c>
      <c r="AM359">
        <v>48</v>
      </c>
      <c r="AN359">
        <f>IF(ISNUMBER(AJ359),IF(AJ359&gt;=0.05,1,0),"")</f>
        <v>1</v>
      </c>
      <c r="AO359">
        <f>IF(ISNUMBER(AJ359),IF(AJ359&lt;0.005,1,0),"")</f>
        <v>0</v>
      </c>
      <c r="AQ359" s="34"/>
      <c r="AR359" s="35"/>
      <c r="AS359" s="36"/>
    </row>
    <row r="360" spans="1:45" ht="57" x14ac:dyDescent="0.45">
      <c r="A360" s="1" t="s">
        <v>80</v>
      </c>
      <c r="B360" s="1" t="s">
        <v>81</v>
      </c>
      <c r="C360" s="1">
        <v>182</v>
      </c>
      <c r="D360" s="1">
        <v>444.44</v>
      </c>
      <c r="E360" s="1">
        <v>-1.3</v>
      </c>
      <c r="F360" s="1">
        <v>3.5</v>
      </c>
      <c r="G360" s="1">
        <v>3.6</v>
      </c>
      <c r="H360" s="1">
        <v>1.35</v>
      </c>
      <c r="I360" s="1">
        <v>3.29</v>
      </c>
      <c r="J360" s="1">
        <v>3.0992000000000002</v>
      </c>
      <c r="K360" s="1" t="s">
        <v>49</v>
      </c>
      <c r="N360" s="1">
        <v>24.82</v>
      </c>
      <c r="O360" s="1">
        <v>0.1918</v>
      </c>
      <c r="Q360" s="1">
        <v>35.5</v>
      </c>
      <c r="R360" s="1" t="s">
        <v>82</v>
      </c>
      <c r="S360" s="1">
        <v>238.11</v>
      </c>
      <c r="T360" s="1">
        <v>92</v>
      </c>
      <c r="U360" s="1">
        <v>2.08</v>
      </c>
      <c r="V360" s="1">
        <v>-6.26</v>
      </c>
      <c r="W360" s="1">
        <v>0.3</v>
      </c>
      <c r="X360" s="1">
        <f t="shared" si="56"/>
        <v>300</v>
      </c>
      <c r="Y360" s="1">
        <v>6.3</v>
      </c>
      <c r="Z360" s="1">
        <v>0.11</v>
      </c>
      <c r="AA360" s="1">
        <v>39.267444029850701</v>
      </c>
      <c r="AB360" s="1">
        <v>3.5</v>
      </c>
      <c r="AC360" s="1">
        <v>25</v>
      </c>
      <c r="AH360" s="1">
        <v>0.38132205314269496</v>
      </c>
      <c r="AJ360" s="1">
        <f>IF(ISNUMBER(AH360),1-AH360,"")</f>
        <v>0.61867794685730504</v>
      </c>
      <c r="AK360" s="1">
        <f>IF(AND(ISNUMBER(AJ360),AJ360&gt;0),LN(AJ360),"")</f>
        <v>-0.48017042140355659</v>
      </c>
      <c r="AM360">
        <v>48</v>
      </c>
      <c r="AN360">
        <f>IF(ISNUMBER(AJ360),IF(AJ360&gt;=0.05,1,0),"")</f>
        <v>1</v>
      </c>
      <c r="AO360">
        <f>IF(ISNUMBER(AJ360),IF(AJ360&lt;0.005,1,0),"")</f>
        <v>0</v>
      </c>
      <c r="AQ360" s="34"/>
      <c r="AR360" s="35"/>
      <c r="AS360" s="36"/>
    </row>
    <row r="361" spans="1:45" ht="57" x14ac:dyDescent="0.45">
      <c r="A361" s="1" t="s">
        <v>80</v>
      </c>
      <c r="B361" s="1" t="s">
        <v>81</v>
      </c>
      <c r="C361" s="1">
        <v>182</v>
      </c>
      <c r="D361" s="1">
        <v>444.44</v>
      </c>
      <c r="E361" s="1">
        <v>-1.3</v>
      </c>
      <c r="F361" s="1">
        <v>3.5</v>
      </c>
      <c r="G361" s="1">
        <v>3.6</v>
      </c>
      <c r="H361" s="1">
        <v>1.35</v>
      </c>
      <c r="I361" s="1">
        <v>3.29</v>
      </c>
      <c r="J361" s="1">
        <v>3.0992000000000002</v>
      </c>
      <c r="K361" s="1" t="s">
        <v>49</v>
      </c>
      <c r="N361" s="1">
        <v>24.82</v>
      </c>
      <c r="O361" s="1">
        <v>0.1918</v>
      </c>
      <c r="Q361" s="1">
        <v>35.5</v>
      </c>
      <c r="R361" s="1" t="s">
        <v>82</v>
      </c>
      <c r="S361" s="1">
        <v>238.11</v>
      </c>
      <c r="T361" s="1">
        <v>92</v>
      </c>
      <c r="U361" s="1">
        <v>2.08</v>
      </c>
      <c r="V361" s="1">
        <v>-6.26</v>
      </c>
      <c r="W361" s="1">
        <v>0.3</v>
      </c>
      <c r="X361" s="1">
        <f t="shared" si="56"/>
        <v>300</v>
      </c>
      <c r="Y361" s="1">
        <v>6.3</v>
      </c>
      <c r="Z361" s="1">
        <v>0.11</v>
      </c>
      <c r="AA361" s="1">
        <v>58.335130597014903</v>
      </c>
      <c r="AB361" s="1">
        <v>3.5</v>
      </c>
      <c r="AC361" s="1">
        <v>25</v>
      </c>
      <c r="AH361" s="1">
        <v>0.58215554673243797</v>
      </c>
      <c r="AJ361" s="1">
        <f>IF(ISNUMBER(AH361),1-AH361,"")</f>
        <v>0.41784445326756203</v>
      </c>
      <c r="AK361" s="1">
        <f>IF(AND(ISNUMBER(AJ361),AJ361&gt;0),LN(AJ361),"")</f>
        <v>-0.8726460370811876</v>
      </c>
      <c r="AM361">
        <v>48</v>
      </c>
      <c r="AN361">
        <f>IF(ISNUMBER(AJ361),IF(AJ361&gt;=0.05,1,0),"")</f>
        <v>1</v>
      </c>
      <c r="AO361">
        <f>IF(ISNUMBER(AJ361),IF(AJ361&lt;0.005,1,0),"")</f>
        <v>0</v>
      </c>
      <c r="AQ361" s="34"/>
      <c r="AR361" s="35"/>
      <c r="AS361" s="36"/>
    </row>
    <row r="362" spans="1:45" ht="57" x14ac:dyDescent="0.45">
      <c r="A362" s="1" t="s">
        <v>80</v>
      </c>
      <c r="B362" s="1" t="s">
        <v>81</v>
      </c>
      <c r="C362" s="1">
        <v>182</v>
      </c>
      <c r="D362" s="1">
        <v>444.44</v>
      </c>
      <c r="E362" s="1">
        <v>-1.3</v>
      </c>
      <c r="F362" s="1">
        <v>3.5</v>
      </c>
      <c r="G362" s="1">
        <v>3.6</v>
      </c>
      <c r="H362" s="1">
        <v>1.35</v>
      </c>
      <c r="I362" s="1">
        <v>3.29</v>
      </c>
      <c r="J362" s="1">
        <v>3.0992000000000002</v>
      </c>
      <c r="K362" s="1" t="s">
        <v>49</v>
      </c>
      <c r="N362" s="1">
        <v>24.82</v>
      </c>
      <c r="O362" s="1">
        <v>0.1918</v>
      </c>
      <c r="Q362" s="1">
        <v>35.5</v>
      </c>
      <c r="R362" s="1" t="s">
        <v>82</v>
      </c>
      <c r="S362" s="1">
        <v>238.11</v>
      </c>
      <c r="T362" s="1">
        <v>92</v>
      </c>
      <c r="U362" s="1">
        <v>2.08</v>
      </c>
      <c r="V362" s="1">
        <v>-6.26</v>
      </c>
      <c r="W362" s="1">
        <v>0.3</v>
      </c>
      <c r="X362" s="1">
        <f t="shared" si="56"/>
        <v>300</v>
      </c>
      <c r="Y362" s="1">
        <v>6.3</v>
      </c>
      <c r="Z362" s="1">
        <v>0.11</v>
      </c>
      <c r="AA362" s="1">
        <v>77.629813432835803</v>
      </c>
      <c r="AB362" s="1">
        <v>3.5</v>
      </c>
      <c r="AC362" s="1">
        <v>25</v>
      </c>
      <c r="AH362" s="1">
        <v>0.66794849545038693</v>
      </c>
      <c r="AJ362" s="1">
        <f>IF(ISNUMBER(AH362),1-AH362,"")</f>
        <v>0.33205150454961307</v>
      </c>
      <c r="AK362" s="1">
        <f>IF(AND(ISNUMBER(AJ362),AJ362&gt;0),LN(AJ362),"")</f>
        <v>-1.1024651879121303</v>
      </c>
      <c r="AM362">
        <v>48</v>
      </c>
      <c r="AN362">
        <f>IF(ISNUMBER(AJ362),IF(AJ362&gt;=0.05,1,0),"")</f>
        <v>1</v>
      </c>
      <c r="AO362">
        <f>IF(ISNUMBER(AJ362),IF(AJ362&lt;0.005,1,0),"")</f>
        <v>0</v>
      </c>
      <c r="AQ362" s="34"/>
      <c r="AR362" s="35"/>
      <c r="AS362" s="36"/>
    </row>
    <row r="363" spans="1:45" ht="57" x14ac:dyDescent="0.45">
      <c r="A363" s="1" t="s">
        <v>80</v>
      </c>
      <c r="B363" s="1" t="s">
        <v>81</v>
      </c>
      <c r="C363" s="1">
        <v>182</v>
      </c>
      <c r="D363" s="1">
        <v>444.44</v>
      </c>
      <c r="E363" s="1">
        <v>-1.3</v>
      </c>
      <c r="F363" s="1">
        <v>3.5</v>
      </c>
      <c r="G363" s="1">
        <v>3.6</v>
      </c>
      <c r="H363" s="1">
        <v>1.35</v>
      </c>
      <c r="I363" s="1">
        <v>3.29</v>
      </c>
      <c r="J363" s="1">
        <v>3.0992000000000002</v>
      </c>
      <c r="K363" s="1" t="s">
        <v>49</v>
      </c>
      <c r="N363" s="1">
        <v>24.82</v>
      </c>
      <c r="O363" s="1">
        <v>0.1918</v>
      </c>
      <c r="Q363" s="1">
        <v>35.5</v>
      </c>
      <c r="R363" s="1" t="s">
        <v>82</v>
      </c>
      <c r="S363" s="1">
        <v>238.11</v>
      </c>
      <c r="T363" s="1">
        <v>92</v>
      </c>
      <c r="U363" s="1">
        <v>2.08</v>
      </c>
      <c r="V363" s="1">
        <v>-6.26</v>
      </c>
      <c r="W363" s="1">
        <v>0.3</v>
      </c>
      <c r="X363" s="1">
        <f t="shared" si="56"/>
        <v>300</v>
      </c>
      <c r="Y363" s="1">
        <v>6.3</v>
      </c>
      <c r="Z363" s="1">
        <v>0.11</v>
      </c>
      <c r="AA363" s="1">
        <v>97.378488805970093</v>
      </c>
      <c r="AB363" s="1">
        <v>3.5</v>
      </c>
      <c r="AC363" s="1">
        <v>25</v>
      </c>
      <c r="AH363" s="1">
        <v>0.72059416852731006</v>
      </c>
      <c r="AJ363" s="1">
        <f>IF(ISNUMBER(AH363),1-AH363,"")</f>
        <v>0.27940583147268994</v>
      </c>
      <c r="AK363" s="1">
        <f>IF(AND(ISNUMBER(AJ363),AJ363&gt;0),LN(AJ363),"")</f>
        <v>-1.2750899609644466</v>
      </c>
      <c r="AM363">
        <v>48</v>
      </c>
      <c r="AN363">
        <f>IF(ISNUMBER(AJ363),IF(AJ363&gt;=0.05,1,0),"")</f>
        <v>1</v>
      </c>
      <c r="AO363">
        <f>IF(ISNUMBER(AJ363),IF(AJ363&lt;0.005,1,0),"")</f>
        <v>0</v>
      </c>
      <c r="AQ363" s="34"/>
      <c r="AR363" s="35"/>
      <c r="AS363" s="36"/>
    </row>
    <row r="364" spans="1:45" ht="57" x14ac:dyDescent="0.45">
      <c r="A364" s="1" t="s">
        <v>80</v>
      </c>
      <c r="B364" s="1" t="s">
        <v>81</v>
      </c>
      <c r="C364" s="1">
        <v>182</v>
      </c>
      <c r="D364" s="1">
        <v>444.44</v>
      </c>
      <c r="E364" s="1">
        <v>-1.3</v>
      </c>
      <c r="F364" s="1">
        <v>3.5</v>
      </c>
      <c r="G364" s="1">
        <v>3.6</v>
      </c>
      <c r="H364" s="1">
        <v>1.35</v>
      </c>
      <c r="I364" s="1">
        <v>3.29</v>
      </c>
      <c r="J364" s="1">
        <v>3.0992000000000002</v>
      </c>
      <c r="K364" s="1" t="s">
        <v>49</v>
      </c>
      <c r="N364" s="1">
        <v>24.82</v>
      </c>
      <c r="O364" s="1">
        <v>0.1918</v>
      </c>
      <c r="Q364" s="1">
        <v>35.5</v>
      </c>
      <c r="R364" s="1" t="s">
        <v>82</v>
      </c>
      <c r="S364" s="1">
        <v>238.11</v>
      </c>
      <c r="T364" s="1">
        <v>92</v>
      </c>
      <c r="U364" s="1">
        <v>2.08</v>
      </c>
      <c r="V364" s="1">
        <v>-6.26</v>
      </c>
      <c r="W364" s="1">
        <v>0.3</v>
      </c>
      <c r="X364" s="1">
        <f t="shared" si="56"/>
        <v>300</v>
      </c>
      <c r="Y364" s="1">
        <v>6.3</v>
      </c>
      <c r="Z364" s="1">
        <v>0.11</v>
      </c>
      <c r="AA364" s="1">
        <v>116.900167910447</v>
      </c>
      <c r="AB364" s="1">
        <v>3.5</v>
      </c>
      <c r="AC364" s="1">
        <v>25</v>
      </c>
      <c r="AH364" s="1">
        <v>0.74594208519397698</v>
      </c>
      <c r="AJ364" s="1">
        <f>IF(ISNUMBER(AH364),1-AH364,"")</f>
        <v>0.25405791480602302</v>
      </c>
      <c r="AK364" s="1">
        <f>IF(AND(ISNUMBER(AJ364),AJ364&gt;0),LN(AJ364),"")</f>
        <v>-1.3701930269068339</v>
      </c>
      <c r="AM364">
        <v>48</v>
      </c>
      <c r="AN364">
        <f>IF(ISNUMBER(AJ364),IF(AJ364&gt;=0.05,1,0),"")</f>
        <v>1</v>
      </c>
      <c r="AO364">
        <f>IF(ISNUMBER(AJ364),IF(AJ364&lt;0.005,1,0),"")</f>
        <v>0</v>
      </c>
      <c r="AQ364" s="34"/>
      <c r="AR364" s="35"/>
      <c r="AS364" s="36"/>
    </row>
    <row r="365" spans="1:45" ht="57" x14ac:dyDescent="0.45">
      <c r="A365" s="1" t="s">
        <v>80</v>
      </c>
      <c r="B365" s="1" t="s">
        <v>81</v>
      </c>
      <c r="C365" s="1">
        <v>182</v>
      </c>
      <c r="D365" s="1">
        <v>444.44</v>
      </c>
      <c r="E365" s="1">
        <v>-1.3</v>
      </c>
      <c r="F365" s="1">
        <v>3.5</v>
      </c>
      <c r="G365" s="1">
        <v>3.6</v>
      </c>
      <c r="H365" s="1">
        <v>1.35</v>
      </c>
      <c r="I365" s="1">
        <v>3.29</v>
      </c>
      <c r="J365" s="1">
        <v>3.0992000000000002</v>
      </c>
      <c r="K365" s="1" t="s">
        <v>83</v>
      </c>
      <c r="N365" s="1">
        <v>13.98</v>
      </c>
      <c r="O365" s="1">
        <v>2.1000000000000001E-2</v>
      </c>
      <c r="P365" s="1">
        <v>7.45</v>
      </c>
      <c r="Q365" s="1">
        <v>40</v>
      </c>
      <c r="R365" s="1" t="s">
        <v>82</v>
      </c>
      <c r="S365" s="1">
        <v>238.11</v>
      </c>
      <c r="T365" s="1">
        <v>92</v>
      </c>
      <c r="U365" s="1">
        <v>2.08</v>
      </c>
      <c r="V365" s="1">
        <v>-6.26</v>
      </c>
      <c r="W365" s="1">
        <v>0.3</v>
      </c>
      <c r="X365" s="1">
        <f t="shared" si="56"/>
        <v>300</v>
      </c>
      <c r="Y365" s="1">
        <v>6.3</v>
      </c>
      <c r="Z365" s="1">
        <v>0.11</v>
      </c>
      <c r="AA365" s="1">
        <v>1.3590671641791201</v>
      </c>
      <c r="AB365" s="1">
        <v>3.5</v>
      </c>
      <c r="AC365" s="1">
        <v>25</v>
      </c>
      <c r="AH365" s="1">
        <v>-4.746216088070021E-3</v>
      </c>
      <c r="AI365" s="1">
        <v>1.3033841092341394E-2</v>
      </c>
      <c r="AJ365" s="1">
        <f>IF(ISNUMBER(AH365),1-AH365,"")</f>
        <v>1.00474621608807</v>
      </c>
      <c r="AK365" s="1">
        <f>IF(AND(ISNUMBER(AJ365),AJ365&gt;0),LN(AJ365),"")</f>
        <v>4.7349883167627418E-3</v>
      </c>
      <c r="AM365">
        <v>49</v>
      </c>
      <c r="AN365">
        <f>IF(ISNUMBER(AJ365),IF(AJ365&gt;=0.05,1,0),"")</f>
        <v>1</v>
      </c>
      <c r="AO365">
        <f>IF(ISNUMBER(AJ365),IF(AJ365&lt;0.005,1,0),"")</f>
        <v>0</v>
      </c>
      <c r="AP365">
        <f>IFERROR(MATCH(0,AN365:AN372,0)-1,8)</f>
        <v>8</v>
      </c>
      <c r="AQ365" s="34">
        <f>IF(AP365&lt;3,"n&lt;3",IFERROR(-SLOPE(AK365:INDEX(AK365:AK372,AP365),AA365:INDEX(AA365:AA372,AP365)),"no fit"))</f>
        <v>9.4251452814386304E-3</v>
      </c>
      <c r="AR365" s="35">
        <f>IF(AP365&lt;3,"",IFERROR(RSQ(AK365:INDEX(AK365:AK372,AP365),AA365:INDEX(AA365:AA372,AP365)),"flat"))</f>
        <v>0.66760100722285676</v>
      </c>
      <c r="AS365" s="36">
        <f>IFERROR(AQ365/AI365,"")</f>
        <v>0.72312875495902651</v>
      </c>
    </row>
    <row r="366" spans="1:45" ht="57" x14ac:dyDescent="0.45">
      <c r="A366" s="1" t="s">
        <v>80</v>
      </c>
      <c r="B366" s="1" t="s">
        <v>81</v>
      </c>
      <c r="C366" s="1">
        <v>182</v>
      </c>
      <c r="D366" s="1">
        <v>444.44</v>
      </c>
      <c r="E366" s="1">
        <v>-1.3</v>
      </c>
      <c r="F366" s="1">
        <v>3.5</v>
      </c>
      <c r="G366" s="1">
        <v>3.6</v>
      </c>
      <c r="H366" s="1">
        <v>1.35</v>
      </c>
      <c r="I366" s="1">
        <v>3.29</v>
      </c>
      <c r="J366" s="1">
        <v>3.0992000000000002</v>
      </c>
      <c r="K366" s="1" t="s">
        <v>83</v>
      </c>
      <c r="N366" s="1">
        <v>13.98</v>
      </c>
      <c r="O366" s="1">
        <v>2.1000000000000001E-2</v>
      </c>
      <c r="P366" s="1">
        <v>7.45</v>
      </c>
      <c r="Q366" s="1">
        <v>40</v>
      </c>
      <c r="R366" s="1" t="s">
        <v>82</v>
      </c>
      <c r="S366" s="1">
        <v>238.11</v>
      </c>
      <c r="T366" s="1">
        <v>92</v>
      </c>
      <c r="U366" s="1">
        <v>2.08</v>
      </c>
      <c r="V366" s="1">
        <v>-6.26</v>
      </c>
      <c r="W366" s="1">
        <v>0.3</v>
      </c>
      <c r="X366" s="1">
        <f t="shared" si="56"/>
        <v>300</v>
      </c>
      <c r="Y366" s="1">
        <v>6.3</v>
      </c>
      <c r="Z366" s="1">
        <v>0.11</v>
      </c>
      <c r="AA366" s="1">
        <v>10.438917910447699</v>
      </c>
      <c r="AB366" s="1">
        <v>3.5</v>
      </c>
      <c r="AC366" s="1">
        <v>25</v>
      </c>
      <c r="AH366" s="1">
        <v>0.55680763006577094</v>
      </c>
      <c r="AJ366" s="1">
        <f>IF(ISNUMBER(AH366),1-AH366,"")</f>
        <v>0.44319236993422906</v>
      </c>
      <c r="AK366" s="1">
        <f>IF(AND(ISNUMBER(AJ366),AJ366&gt;0),LN(AJ366),"")</f>
        <v>-0.81375135954962874</v>
      </c>
      <c r="AM366">
        <v>49</v>
      </c>
      <c r="AN366">
        <f>IF(ISNUMBER(AJ366),IF(AJ366&gt;=0.05,1,0),"")</f>
        <v>1</v>
      </c>
      <c r="AO366">
        <f>IF(ISNUMBER(AJ366),IF(AJ366&lt;0.005,1,0),"")</f>
        <v>0</v>
      </c>
      <c r="AQ366" s="34"/>
      <c r="AR366" s="35"/>
      <c r="AS366" s="36"/>
    </row>
    <row r="367" spans="1:45" ht="57" x14ac:dyDescent="0.45">
      <c r="A367" s="1" t="s">
        <v>80</v>
      </c>
      <c r="B367" s="1" t="s">
        <v>81</v>
      </c>
      <c r="C367" s="1">
        <v>182</v>
      </c>
      <c r="D367" s="1">
        <v>444.44</v>
      </c>
      <c r="E367" s="1">
        <v>-1.3</v>
      </c>
      <c r="F367" s="1">
        <v>3.5</v>
      </c>
      <c r="G367" s="1">
        <v>3.6</v>
      </c>
      <c r="H367" s="1">
        <v>1.35</v>
      </c>
      <c r="I367" s="1">
        <v>3.29</v>
      </c>
      <c r="J367" s="1">
        <v>3.0992000000000002</v>
      </c>
      <c r="K367" s="1" t="s">
        <v>83</v>
      </c>
      <c r="N367" s="1">
        <v>13.98</v>
      </c>
      <c r="O367" s="1">
        <v>2.1000000000000001E-2</v>
      </c>
      <c r="P367" s="1">
        <v>7.45</v>
      </c>
      <c r="Q367" s="1">
        <v>40</v>
      </c>
      <c r="R367" s="1" t="s">
        <v>82</v>
      </c>
      <c r="S367" s="1">
        <v>238.11</v>
      </c>
      <c r="T367" s="1">
        <v>92</v>
      </c>
      <c r="U367" s="1">
        <v>2.08</v>
      </c>
      <c r="V367" s="1">
        <v>-6.26</v>
      </c>
      <c r="W367" s="1">
        <v>0.3</v>
      </c>
      <c r="X367" s="1">
        <f t="shared" si="56"/>
        <v>300</v>
      </c>
      <c r="Y367" s="1">
        <v>6.3</v>
      </c>
      <c r="Z367" s="1">
        <v>0.11</v>
      </c>
      <c r="AA367" s="1">
        <v>20.426753731343201</v>
      </c>
      <c r="AB367" s="1">
        <v>3.5</v>
      </c>
      <c r="AC367" s="1">
        <v>25</v>
      </c>
      <c r="AH367" s="1">
        <v>0.63480121980936099</v>
      </c>
      <c r="AJ367" s="1">
        <f>IF(ISNUMBER(AH367),1-AH367,"")</f>
        <v>0.36519878019063901</v>
      </c>
      <c r="AK367" s="1">
        <f>IF(AND(ISNUMBER(AJ367),AJ367&gt;0),LN(AJ367),"")</f>
        <v>-1.0073134703801576</v>
      </c>
      <c r="AM367">
        <v>49</v>
      </c>
      <c r="AN367">
        <f>IF(ISNUMBER(AJ367),IF(AJ367&gt;=0.05,1,0),"")</f>
        <v>1</v>
      </c>
      <c r="AO367">
        <f>IF(ISNUMBER(AJ367),IF(AJ367&lt;0.005,1,0),"")</f>
        <v>0</v>
      </c>
      <c r="AQ367" s="34"/>
      <c r="AR367" s="35"/>
      <c r="AS367" s="36"/>
    </row>
    <row r="368" spans="1:45" ht="57" x14ac:dyDescent="0.45">
      <c r="A368" s="1" t="s">
        <v>80</v>
      </c>
      <c r="B368" s="1" t="s">
        <v>81</v>
      </c>
      <c r="C368" s="1">
        <v>182</v>
      </c>
      <c r="D368" s="1">
        <v>444.44</v>
      </c>
      <c r="E368" s="1">
        <v>-1.3</v>
      </c>
      <c r="F368" s="1">
        <v>3.5</v>
      </c>
      <c r="G368" s="1">
        <v>3.6</v>
      </c>
      <c r="H368" s="1">
        <v>1.35</v>
      </c>
      <c r="I368" s="1">
        <v>3.29</v>
      </c>
      <c r="J368" s="1">
        <v>3.0992000000000002</v>
      </c>
      <c r="K368" s="1" t="s">
        <v>83</v>
      </c>
      <c r="N368" s="1">
        <v>13.98</v>
      </c>
      <c r="O368" s="1">
        <v>2.1000000000000001E-2</v>
      </c>
      <c r="P368" s="1">
        <v>7.45</v>
      </c>
      <c r="Q368" s="1">
        <v>40</v>
      </c>
      <c r="R368" s="1" t="s">
        <v>82</v>
      </c>
      <c r="S368" s="1">
        <v>238.11</v>
      </c>
      <c r="T368" s="1">
        <v>92</v>
      </c>
      <c r="U368" s="1">
        <v>2.08</v>
      </c>
      <c r="V368" s="1">
        <v>-6.26</v>
      </c>
      <c r="W368" s="1">
        <v>0.3</v>
      </c>
      <c r="X368" s="1">
        <f t="shared" si="56"/>
        <v>300</v>
      </c>
      <c r="Y368" s="1">
        <v>6.3</v>
      </c>
      <c r="Z368" s="1">
        <v>0.11</v>
      </c>
      <c r="AA368" s="1">
        <v>39.040447761194002</v>
      </c>
      <c r="AB368" s="1">
        <v>3.5</v>
      </c>
      <c r="AC368" s="1">
        <v>25</v>
      </c>
      <c r="AH368" s="1">
        <v>0.69329641211705306</v>
      </c>
      <c r="AJ368" s="1">
        <f>IF(ISNUMBER(AH368),1-AH368,"")</f>
        <v>0.30670358788294694</v>
      </c>
      <c r="AK368" s="1">
        <f>IF(AND(ISNUMBER(AJ368),AJ368&gt;0),LN(AJ368),"")</f>
        <v>-1.1818735095836106</v>
      </c>
      <c r="AM368">
        <v>49</v>
      </c>
      <c r="AN368">
        <f>IF(ISNUMBER(AJ368),IF(AJ368&gt;=0.05,1,0),"")</f>
        <v>1</v>
      </c>
      <c r="AO368">
        <f>IF(ISNUMBER(AJ368),IF(AJ368&lt;0.005,1,0),"")</f>
        <v>0</v>
      </c>
      <c r="AQ368" s="34"/>
      <c r="AR368" s="35"/>
      <c r="AS368" s="36"/>
    </row>
    <row r="369" spans="1:45" ht="57" x14ac:dyDescent="0.45">
      <c r="A369" s="1" t="s">
        <v>80</v>
      </c>
      <c r="B369" s="1" t="s">
        <v>81</v>
      </c>
      <c r="C369" s="1">
        <v>182</v>
      </c>
      <c r="D369" s="1">
        <v>444.44</v>
      </c>
      <c r="E369" s="1">
        <v>-1.3</v>
      </c>
      <c r="F369" s="1">
        <v>3.5</v>
      </c>
      <c r="G369" s="1">
        <v>3.6</v>
      </c>
      <c r="H369" s="1">
        <v>1.35</v>
      </c>
      <c r="I369" s="1">
        <v>3.29</v>
      </c>
      <c r="J369" s="1">
        <v>3.0992000000000002</v>
      </c>
      <c r="K369" s="1" t="s">
        <v>83</v>
      </c>
      <c r="N369" s="1">
        <v>13.98</v>
      </c>
      <c r="O369" s="1">
        <v>2.1000000000000001E-2</v>
      </c>
      <c r="P369" s="1">
        <v>7.45</v>
      </c>
      <c r="Q369" s="1">
        <v>40</v>
      </c>
      <c r="R369" s="1" t="s">
        <v>82</v>
      </c>
      <c r="S369" s="1">
        <v>238.11</v>
      </c>
      <c r="T369" s="1">
        <v>92</v>
      </c>
      <c r="U369" s="1">
        <v>2.08</v>
      </c>
      <c r="V369" s="1">
        <v>-6.26</v>
      </c>
      <c r="W369" s="1">
        <v>0.3</v>
      </c>
      <c r="X369" s="1">
        <f t="shared" si="56"/>
        <v>300</v>
      </c>
      <c r="Y369" s="1">
        <v>6.3</v>
      </c>
      <c r="Z369" s="1">
        <v>0.11</v>
      </c>
      <c r="AA369" s="1">
        <v>59.016119402984998</v>
      </c>
      <c r="AB369" s="1">
        <v>3.5</v>
      </c>
      <c r="AC369" s="1">
        <v>25</v>
      </c>
      <c r="AH369" s="1">
        <v>0.72839352750166908</v>
      </c>
      <c r="AJ369" s="1">
        <f>IF(ISNUMBER(AH369),1-AH369,"")</f>
        <v>0.27160647249833092</v>
      </c>
      <c r="AK369" s="1">
        <f>IF(AND(ISNUMBER(AJ369),AJ369&gt;0),LN(AJ369),"")</f>
        <v>-1.3034010525862223</v>
      </c>
      <c r="AM369">
        <v>49</v>
      </c>
      <c r="AN369">
        <f>IF(ISNUMBER(AJ369),IF(AJ369&gt;=0.05,1,0),"")</f>
        <v>1</v>
      </c>
      <c r="AO369">
        <f>IF(ISNUMBER(AJ369),IF(AJ369&lt;0.005,1,0),"")</f>
        <v>0</v>
      </c>
      <c r="AQ369" s="34"/>
      <c r="AR369" s="35"/>
      <c r="AS369" s="36"/>
    </row>
    <row r="370" spans="1:45" ht="57" x14ac:dyDescent="0.45">
      <c r="A370" s="1" t="s">
        <v>80</v>
      </c>
      <c r="B370" s="1" t="s">
        <v>81</v>
      </c>
      <c r="C370" s="1">
        <v>182</v>
      </c>
      <c r="D370" s="1">
        <v>444.44</v>
      </c>
      <c r="E370" s="1">
        <v>-1.3</v>
      </c>
      <c r="F370" s="1">
        <v>3.5</v>
      </c>
      <c r="G370" s="1">
        <v>3.6</v>
      </c>
      <c r="H370" s="1">
        <v>1.35</v>
      </c>
      <c r="I370" s="1">
        <v>3.29</v>
      </c>
      <c r="J370" s="1">
        <v>3.0992000000000002</v>
      </c>
      <c r="K370" s="1" t="s">
        <v>83</v>
      </c>
      <c r="N370" s="1">
        <v>13.98</v>
      </c>
      <c r="O370" s="1">
        <v>2.1000000000000001E-2</v>
      </c>
      <c r="P370" s="1">
        <v>7.45</v>
      </c>
      <c r="Q370" s="1">
        <v>40</v>
      </c>
      <c r="R370" s="1" t="s">
        <v>82</v>
      </c>
      <c r="S370" s="1">
        <v>238.11</v>
      </c>
      <c r="T370" s="1">
        <v>92</v>
      </c>
      <c r="U370" s="1">
        <v>2.08</v>
      </c>
      <c r="V370" s="1">
        <v>-6.26</v>
      </c>
      <c r="W370" s="1">
        <v>0.3</v>
      </c>
      <c r="X370" s="1">
        <f t="shared" si="56"/>
        <v>300</v>
      </c>
      <c r="Y370" s="1">
        <v>6.3</v>
      </c>
      <c r="Z370" s="1">
        <v>0.11</v>
      </c>
      <c r="AA370" s="1">
        <v>78.0838059701492</v>
      </c>
      <c r="AB370" s="1">
        <v>3.5</v>
      </c>
      <c r="AC370" s="1">
        <v>25</v>
      </c>
      <c r="AH370" s="1">
        <v>0.73229320698884792</v>
      </c>
      <c r="AJ370" s="1">
        <f>IF(ISNUMBER(AH370),1-AH370,"")</f>
        <v>0.26770679301115208</v>
      </c>
      <c r="AK370" s="1">
        <f>IF(AND(ISNUMBER(AJ370),AJ370&gt;0),LN(AJ370),"")</f>
        <v>-1.3178629533158763</v>
      </c>
      <c r="AM370">
        <v>49</v>
      </c>
      <c r="AN370">
        <f>IF(ISNUMBER(AJ370),IF(AJ370&gt;=0.05,1,0),"")</f>
        <v>1</v>
      </c>
      <c r="AO370">
        <f>IF(ISNUMBER(AJ370),IF(AJ370&lt;0.005,1,0),"")</f>
        <v>0</v>
      </c>
      <c r="AQ370" s="34"/>
      <c r="AR370" s="35"/>
      <c r="AS370" s="36"/>
    </row>
    <row r="371" spans="1:45" ht="57" x14ac:dyDescent="0.45">
      <c r="A371" s="1" t="s">
        <v>80</v>
      </c>
      <c r="B371" s="1" t="s">
        <v>81</v>
      </c>
      <c r="C371" s="1">
        <v>182</v>
      </c>
      <c r="D371" s="1">
        <v>444.44</v>
      </c>
      <c r="E371" s="1">
        <v>-1.3</v>
      </c>
      <c r="F371" s="1">
        <v>3.5</v>
      </c>
      <c r="G371" s="1">
        <v>3.6</v>
      </c>
      <c r="H371" s="1">
        <v>1.35</v>
      </c>
      <c r="I371" s="1">
        <v>3.29</v>
      </c>
      <c r="J371" s="1">
        <v>3.0992000000000002</v>
      </c>
      <c r="K371" s="1" t="s">
        <v>83</v>
      </c>
      <c r="N371" s="1">
        <v>13.98</v>
      </c>
      <c r="O371" s="1">
        <v>2.1000000000000001E-2</v>
      </c>
      <c r="P371" s="1">
        <v>7.45</v>
      </c>
      <c r="Q371" s="1">
        <v>40</v>
      </c>
      <c r="R371" s="1" t="s">
        <v>82</v>
      </c>
      <c r="S371" s="1">
        <v>238.11</v>
      </c>
      <c r="T371" s="1">
        <v>92</v>
      </c>
      <c r="U371" s="1">
        <v>2.08</v>
      </c>
      <c r="V371" s="1">
        <v>-6.26</v>
      </c>
      <c r="W371" s="1">
        <v>0.3</v>
      </c>
      <c r="X371" s="1">
        <f t="shared" si="56"/>
        <v>300</v>
      </c>
      <c r="Y371" s="1">
        <v>6.3</v>
      </c>
      <c r="Z371" s="1">
        <v>0.11</v>
      </c>
      <c r="AA371" s="1">
        <v>97.605485074626799</v>
      </c>
      <c r="AB371" s="1">
        <v>3.5</v>
      </c>
      <c r="AC371" s="1">
        <v>25</v>
      </c>
      <c r="AH371" s="1">
        <v>0.75764112365551495</v>
      </c>
      <c r="AJ371" s="1">
        <f>IF(ISNUMBER(AH371),1-AH371,"")</f>
        <v>0.24235887634448505</v>
      </c>
      <c r="AK371" s="1">
        <f>IF(AND(ISNUMBER(AJ371),AJ371&gt;0),LN(AJ371),"")</f>
        <v>-1.4173356912237172</v>
      </c>
      <c r="AM371">
        <v>49</v>
      </c>
      <c r="AN371">
        <f>IF(ISNUMBER(AJ371),IF(AJ371&gt;=0.05,1,0),"")</f>
        <v>1</v>
      </c>
      <c r="AO371">
        <f>IF(ISNUMBER(AJ371),IF(AJ371&lt;0.005,1,0),"")</f>
        <v>0</v>
      </c>
      <c r="AQ371" s="34"/>
      <c r="AR371" s="35"/>
      <c r="AS371" s="36"/>
    </row>
    <row r="372" spans="1:45" ht="57" x14ac:dyDescent="0.45">
      <c r="A372" s="1" t="s">
        <v>80</v>
      </c>
      <c r="B372" s="1" t="s">
        <v>81</v>
      </c>
      <c r="C372" s="1">
        <v>182</v>
      </c>
      <c r="D372" s="1">
        <v>444.44</v>
      </c>
      <c r="E372" s="1">
        <v>-1.3</v>
      </c>
      <c r="F372" s="1">
        <v>3.5</v>
      </c>
      <c r="G372" s="1">
        <v>3.6</v>
      </c>
      <c r="H372" s="1">
        <v>1.35</v>
      </c>
      <c r="I372" s="1">
        <v>3.29</v>
      </c>
      <c r="J372" s="1">
        <v>3.0992000000000002</v>
      </c>
      <c r="K372" s="1" t="s">
        <v>83</v>
      </c>
      <c r="N372" s="1">
        <v>13.98</v>
      </c>
      <c r="O372" s="1">
        <v>2.1000000000000001E-2</v>
      </c>
      <c r="P372" s="1">
        <v>7.45</v>
      </c>
      <c r="Q372" s="1">
        <v>40</v>
      </c>
      <c r="R372" s="1" t="s">
        <v>82</v>
      </c>
      <c r="S372" s="1">
        <v>238.11</v>
      </c>
      <c r="T372" s="1">
        <v>92</v>
      </c>
      <c r="U372" s="1">
        <v>2.08</v>
      </c>
      <c r="V372" s="1">
        <v>-6.26</v>
      </c>
      <c r="W372" s="1">
        <v>0.3</v>
      </c>
      <c r="X372" s="1">
        <f t="shared" si="56"/>
        <v>300</v>
      </c>
      <c r="Y372" s="1">
        <v>6.3</v>
      </c>
      <c r="Z372" s="1">
        <v>0.11</v>
      </c>
      <c r="AA372" s="1">
        <v>116.900167910447</v>
      </c>
      <c r="AB372" s="1">
        <v>3.5</v>
      </c>
      <c r="AC372" s="1">
        <v>25</v>
      </c>
      <c r="AH372" s="1">
        <v>0.77713952109141293</v>
      </c>
      <c r="AJ372" s="1">
        <f>IF(ISNUMBER(AH372),1-AH372,"")</f>
        <v>0.22286047890858707</v>
      </c>
      <c r="AK372" s="1">
        <f>IF(AND(ISNUMBER(AJ372),AJ372&gt;0),LN(AJ372),"")</f>
        <v>-1.5012093584443003</v>
      </c>
      <c r="AM372">
        <v>49</v>
      </c>
      <c r="AN372">
        <f>IF(ISNUMBER(AJ372),IF(AJ372&gt;=0.05,1,0),"")</f>
        <v>1</v>
      </c>
      <c r="AO372">
        <f>IF(ISNUMBER(AJ372),IF(AJ372&lt;0.005,1,0),"")</f>
        <v>0</v>
      </c>
      <c r="AQ372" s="34"/>
      <c r="AR372" s="35"/>
      <c r="AS372" s="36"/>
    </row>
    <row r="373" spans="1:45" ht="57" x14ac:dyDescent="0.45">
      <c r="A373" s="1" t="s">
        <v>84</v>
      </c>
      <c r="B373" s="1" t="s">
        <v>81</v>
      </c>
      <c r="C373" s="1">
        <v>182</v>
      </c>
      <c r="D373" s="1">
        <v>444.44</v>
      </c>
      <c r="E373" s="1">
        <v>-1.3</v>
      </c>
      <c r="F373" s="1">
        <v>3.5</v>
      </c>
      <c r="G373" s="1">
        <v>3.6</v>
      </c>
      <c r="H373" s="1">
        <v>1.35</v>
      </c>
      <c r="I373" s="1">
        <v>3.29</v>
      </c>
      <c r="J373" s="1">
        <v>3.0992000000000002</v>
      </c>
      <c r="K373" s="1" t="s">
        <v>50</v>
      </c>
      <c r="R373" s="1" t="s">
        <v>82</v>
      </c>
      <c r="S373" s="1">
        <v>238.11</v>
      </c>
      <c r="T373" s="1">
        <v>92</v>
      </c>
      <c r="U373" s="1">
        <v>2.08</v>
      </c>
      <c r="V373" s="1">
        <v>-6.26</v>
      </c>
      <c r="W373" s="1">
        <v>0.3</v>
      </c>
      <c r="X373" s="1">
        <f t="shared" si="56"/>
        <v>300</v>
      </c>
      <c r="Y373" s="1">
        <v>6.3</v>
      </c>
      <c r="Z373" s="1">
        <v>0.11</v>
      </c>
      <c r="AA373" s="1">
        <v>-0.105312499999983</v>
      </c>
      <c r="AB373" s="1">
        <v>7</v>
      </c>
      <c r="AC373" s="1">
        <v>25</v>
      </c>
      <c r="AH373" s="1">
        <v>6.7937104430400019E-3</v>
      </c>
      <c r="AI373" s="1">
        <v>3.5120628331065354E-4</v>
      </c>
      <c r="AJ373" s="1">
        <f>IF(ISNUMBER(AH373),1-AH373,"")</f>
        <v>0.99320628955696</v>
      </c>
      <c r="AK373" s="1">
        <f>IF(AND(ISNUMBER(AJ373),AJ373&gt;0),LN(AJ373),"")</f>
        <v>-6.8168927494088359E-3</v>
      </c>
      <c r="AM373">
        <v>50</v>
      </c>
      <c r="AN373">
        <f>IF(ISNUMBER(AJ373),IF(AJ373&gt;=0.05,1,0),"")</f>
        <v>1</v>
      </c>
      <c r="AO373">
        <f>IF(ISNUMBER(AJ373),IF(AJ373&lt;0.005,1,0),"")</f>
        <v>0</v>
      </c>
      <c r="AP373">
        <f>IFERROR(MATCH(0,AN373:AN380,0)-1,8)</f>
        <v>8</v>
      </c>
      <c r="AQ373" s="34">
        <f>IF(AP373&lt;3,"n&lt;3",IFERROR(-SLOPE(AK373:INDEX(AK373:AK380,AP373),AA373:INDEX(AA373:AA380,AP373)),"no fit"))</f>
        <v>2.8746559867554489E-4</v>
      </c>
      <c r="AR373" s="35">
        <f>IF(AP373&lt;3,"",IFERROR(RSQ(AK373:INDEX(AK373:AK380,AP373),AA373:INDEX(AA373:AA380,AP373)),"flat"))</f>
        <v>0.92873878078776462</v>
      </c>
      <c r="AS373" s="36">
        <f>IFERROR(AQ373/AI373,"")</f>
        <v>0.81850927029478027</v>
      </c>
    </row>
    <row r="374" spans="1:45" ht="57" x14ac:dyDescent="0.45">
      <c r="A374" s="1" t="s">
        <v>84</v>
      </c>
      <c r="B374" s="1" t="s">
        <v>81</v>
      </c>
      <c r="C374" s="1">
        <v>182</v>
      </c>
      <c r="D374" s="1">
        <v>444.44</v>
      </c>
      <c r="E374" s="1">
        <v>-1.3</v>
      </c>
      <c r="F374" s="1">
        <v>3.5</v>
      </c>
      <c r="G374" s="1">
        <v>3.6</v>
      </c>
      <c r="H374" s="1">
        <v>1.35</v>
      </c>
      <c r="I374" s="1">
        <v>3.29</v>
      </c>
      <c r="J374" s="1">
        <v>3.0992000000000002</v>
      </c>
      <c r="K374" s="1" t="s">
        <v>50</v>
      </c>
      <c r="R374" s="1" t="s">
        <v>82</v>
      </c>
      <c r="S374" s="1">
        <v>238.11</v>
      </c>
      <c r="T374" s="1">
        <v>92</v>
      </c>
      <c r="U374" s="1">
        <v>2.08</v>
      </c>
      <c r="V374" s="1">
        <v>-6.26</v>
      </c>
      <c r="W374" s="1">
        <v>0.3</v>
      </c>
      <c r="X374" s="1">
        <f t="shared" si="56"/>
        <v>300</v>
      </c>
      <c r="Y374" s="1">
        <v>6.3</v>
      </c>
      <c r="Z374" s="1">
        <v>0.11</v>
      </c>
      <c r="AA374" s="1">
        <v>10.516671626984101</v>
      </c>
      <c r="AB374" s="1">
        <v>7</v>
      </c>
      <c r="AC374" s="1">
        <v>25</v>
      </c>
      <c r="AH374" s="1">
        <v>1.8344659810129005E-2</v>
      </c>
      <c r="AJ374" s="1">
        <f>IF(ISNUMBER(AH374),1-AH374,"")</f>
        <v>0.981655340189871</v>
      </c>
      <c r="AK374" s="1">
        <f>IF(AND(ISNUMBER(AJ374),AJ374&gt;0),LN(AJ374),"")</f>
        <v>-1.8515009638045563E-2</v>
      </c>
      <c r="AM374">
        <v>50</v>
      </c>
      <c r="AN374">
        <f>IF(ISNUMBER(AJ374),IF(AJ374&gt;=0.05,1,0),"")</f>
        <v>1</v>
      </c>
      <c r="AO374">
        <f>IF(ISNUMBER(AJ374),IF(AJ374&lt;0.005,1,0),"")</f>
        <v>0</v>
      </c>
      <c r="AQ374" s="34"/>
      <c r="AR374" s="35"/>
      <c r="AS374" s="36"/>
    </row>
    <row r="375" spans="1:45" ht="57" x14ac:dyDescent="0.45">
      <c r="A375" s="1" t="s">
        <v>84</v>
      </c>
      <c r="B375" s="1" t="s">
        <v>81</v>
      </c>
      <c r="C375" s="1">
        <v>182</v>
      </c>
      <c r="D375" s="1">
        <v>444.44</v>
      </c>
      <c r="E375" s="1">
        <v>-1.3</v>
      </c>
      <c r="F375" s="1">
        <v>3.5</v>
      </c>
      <c r="G375" s="1">
        <v>3.6</v>
      </c>
      <c r="H375" s="1">
        <v>1.35</v>
      </c>
      <c r="I375" s="1">
        <v>3.29</v>
      </c>
      <c r="J375" s="1">
        <v>3.0992000000000002</v>
      </c>
      <c r="K375" s="1" t="s">
        <v>50</v>
      </c>
      <c r="R375" s="1" t="s">
        <v>82</v>
      </c>
      <c r="S375" s="1">
        <v>238.11</v>
      </c>
      <c r="T375" s="1">
        <v>92</v>
      </c>
      <c r="U375" s="1">
        <v>2.08</v>
      </c>
      <c r="V375" s="1">
        <v>-6.26</v>
      </c>
      <c r="W375" s="1">
        <v>0.3</v>
      </c>
      <c r="X375" s="1">
        <f t="shared" si="56"/>
        <v>300</v>
      </c>
      <c r="Y375" s="1">
        <v>6.3</v>
      </c>
      <c r="Z375" s="1">
        <v>0.11</v>
      </c>
      <c r="AA375" s="1">
        <v>20.897247023809499</v>
      </c>
      <c r="AB375" s="1">
        <v>7</v>
      </c>
      <c r="AC375" s="1">
        <v>25</v>
      </c>
      <c r="AH375" s="1">
        <v>2.4120134493673007E-2</v>
      </c>
      <c r="AJ375" s="1">
        <f>IF(ISNUMBER(AH375),1-AH375,"")</f>
        <v>0.97587986550632699</v>
      </c>
      <c r="AK375" s="1">
        <f>IF(AND(ISNUMBER(AJ375),AJ375&gt;0),LN(AJ375),"")</f>
        <v>-2.4415788765637117E-2</v>
      </c>
      <c r="AM375">
        <v>50</v>
      </c>
      <c r="AN375">
        <f>IF(ISNUMBER(AJ375),IF(AJ375&gt;=0.05,1,0),"")</f>
        <v>1</v>
      </c>
      <c r="AO375">
        <f>IF(ISNUMBER(AJ375),IF(AJ375&lt;0.005,1,0),"")</f>
        <v>0</v>
      </c>
      <c r="AQ375" s="34"/>
      <c r="AR375" s="35"/>
      <c r="AS375" s="36"/>
    </row>
    <row r="376" spans="1:45" ht="57" x14ac:dyDescent="0.45">
      <c r="A376" s="1" t="s">
        <v>84</v>
      </c>
      <c r="B376" s="1" t="s">
        <v>81</v>
      </c>
      <c r="C376" s="1">
        <v>182</v>
      </c>
      <c r="D376" s="1">
        <v>444.44</v>
      </c>
      <c r="E376" s="1">
        <v>-1.3</v>
      </c>
      <c r="F376" s="1">
        <v>3.5</v>
      </c>
      <c r="G376" s="1">
        <v>3.6</v>
      </c>
      <c r="H376" s="1">
        <v>1.35</v>
      </c>
      <c r="I376" s="1">
        <v>3.29</v>
      </c>
      <c r="J376" s="1">
        <v>3.0992000000000002</v>
      </c>
      <c r="K376" s="1" t="s">
        <v>50</v>
      </c>
      <c r="R376" s="1" t="s">
        <v>82</v>
      </c>
      <c r="S376" s="1">
        <v>238.11</v>
      </c>
      <c r="T376" s="1">
        <v>92</v>
      </c>
      <c r="U376" s="1">
        <v>2.08</v>
      </c>
      <c r="V376" s="1">
        <v>-6.26</v>
      </c>
      <c r="W376" s="1">
        <v>0.3</v>
      </c>
      <c r="X376" s="1">
        <f t="shared" si="56"/>
        <v>300</v>
      </c>
      <c r="Y376" s="1">
        <v>6.3</v>
      </c>
      <c r="Z376" s="1">
        <v>0.11</v>
      </c>
      <c r="AA376" s="1">
        <v>41.416989087301602</v>
      </c>
      <c r="AB376" s="1">
        <v>7</v>
      </c>
      <c r="AC376" s="1">
        <v>25</v>
      </c>
      <c r="AH376" s="1">
        <v>2.4120134493673007E-2</v>
      </c>
      <c r="AJ376" s="1">
        <f>IF(ISNUMBER(AH376),1-AH376,"")</f>
        <v>0.97587986550632699</v>
      </c>
      <c r="AK376" s="1">
        <f>IF(AND(ISNUMBER(AJ376),AJ376&gt;0),LN(AJ376),"")</f>
        <v>-2.4415788765637117E-2</v>
      </c>
      <c r="AM376">
        <v>50</v>
      </c>
      <c r="AN376">
        <f>IF(ISNUMBER(AJ376),IF(AJ376&gt;=0.05,1,0),"")</f>
        <v>1</v>
      </c>
      <c r="AO376">
        <f>IF(ISNUMBER(AJ376),IF(AJ376&lt;0.005,1,0),"")</f>
        <v>0</v>
      </c>
      <c r="AQ376" s="34"/>
      <c r="AR376" s="35"/>
      <c r="AS376" s="36"/>
    </row>
    <row r="377" spans="1:45" ht="57" x14ac:dyDescent="0.45">
      <c r="A377" s="1" t="s">
        <v>84</v>
      </c>
      <c r="B377" s="1" t="s">
        <v>81</v>
      </c>
      <c r="C377" s="1">
        <v>182</v>
      </c>
      <c r="D377" s="1">
        <v>444.44</v>
      </c>
      <c r="E377" s="1">
        <v>-1.3</v>
      </c>
      <c r="F377" s="1">
        <v>3.5</v>
      </c>
      <c r="G377" s="1">
        <v>3.6</v>
      </c>
      <c r="H377" s="1">
        <v>1.35</v>
      </c>
      <c r="I377" s="1">
        <v>3.29</v>
      </c>
      <c r="J377" s="1">
        <v>3.0992000000000002</v>
      </c>
      <c r="K377" s="1" t="s">
        <v>50</v>
      </c>
      <c r="R377" s="1" t="s">
        <v>82</v>
      </c>
      <c r="S377" s="1">
        <v>238.11</v>
      </c>
      <c r="T377" s="1">
        <v>92</v>
      </c>
      <c r="U377" s="1">
        <v>2.08</v>
      </c>
      <c r="V377" s="1">
        <v>-6.26</v>
      </c>
      <c r="W377" s="1">
        <v>0.3</v>
      </c>
      <c r="X377" s="1">
        <f t="shared" si="56"/>
        <v>300</v>
      </c>
      <c r="Y377" s="1">
        <v>6.3</v>
      </c>
      <c r="Z377" s="1">
        <v>0.11</v>
      </c>
      <c r="AA377" s="1">
        <v>61.936731150793698</v>
      </c>
      <c r="AB377" s="1">
        <v>7</v>
      </c>
      <c r="AC377" s="1">
        <v>25</v>
      </c>
      <c r="AH377" s="1">
        <v>3.1820767405066008E-2</v>
      </c>
      <c r="AJ377" s="1">
        <f>IF(ISNUMBER(AH377),1-AH377,"")</f>
        <v>0.96817923259493399</v>
      </c>
      <c r="AK377" s="1">
        <f>IF(AND(ISNUMBER(AJ377),AJ377&gt;0),LN(AJ377),"")</f>
        <v>-3.2338051205725485E-2</v>
      </c>
      <c r="AM377">
        <v>50</v>
      </c>
      <c r="AN377">
        <f>IF(ISNUMBER(AJ377),IF(AJ377&gt;=0.05,1,0),"")</f>
        <v>1</v>
      </c>
      <c r="AO377">
        <f>IF(ISNUMBER(AJ377),IF(AJ377&lt;0.005,1,0),"")</f>
        <v>0</v>
      </c>
      <c r="AQ377" s="34"/>
      <c r="AR377" s="35"/>
      <c r="AS377" s="36"/>
    </row>
    <row r="378" spans="1:45" ht="57" x14ac:dyDescent="0.45">
      <c r="A378" s="1" t="s">
        <v>84</v>
      </c>
      <c r="B378" s="1" t="s">
        <v>81</v>
      </c>
      <c r="C378" s="1">
        <v>182</v>
      </c>
      <c r="D378" s="1">
        <v>444.44</v>
      </c>
      <c r="E378" s="1">
        <v>-1.3</v>
      </c>
      <c r="F378" s="1">
        <v>3.5</v>
      </c>
      <c r="G378" s="1">
        <v>3.6</v>
      </c>
      <c r="H378" s="1">
        <v>1.35</v>
      </c>
      <c r="I378" s="1">
        <v>3.29</v>
      </c>
      <c r="J378" s="1">
        <v>3.0992000000000002</v>
      </c>
      <c r="K378" s="1" t="s">
        <v>50</v>
      </c>
      <c r="R378" s="1" t="s">
        <v>82</v>
      </c>
      <c r="S378" s="1">
        <v>238.11</v>
      </c>
      <c r="T378" s="1">
        <v>92</v>
      </c>
      <c r="U378" s="1">
        <v>2.08</v>
      </c>
      <c r="V378" s="1">
        <v>-6.26</v>
      </c>
      <c r="W378" s="1">
        <v>0.3</v>
      </c>
      <c r="X378" s="1">
        <f t="shared" si="56"/>
        <v>300</v>
      </c>
      <c r="Y378" s="1">
        <v>6.3</v>
      </c>
      <c r="Z378" s="1">
        <v>0.11</v>
      </c>
      <c r="AA378" s="1">
        <v>82.456473214285793</v>
      </c>
      <c r="AB378" s="1">
        <v>7</v>
      </c>
      <c r="AC378" s="1">
        <v>25</v>
      </c>
      <c r="AH378" s="1">
        <v>3.3745925632914009E-2</v>
      </c>
      <c r="AJ378" s="1">
        <f>IF(ISNUMBER(AH378),1-AH378,"")</f>
        <v>0.96625407436708599</v>
      </c>
      <c r="AK378" s="1">
        <f>IF(AND(ISNUMBER(AJ378),AJ378&gt;0),LN(AJ378),"")</f>
        <v>-3.432846240935826E-2</v>
      </c>
      <c r="AM378">
        <v>50</v>
      </c>
      <c r="AN378">
        <f>IF(ISNUMBER(AJ378),IF(AJ378&gt;=0.05,1,0),"")</f>
        <v>1</v>
      </c>
      <c r="AO378">
        <f>IF(ISNUMBER(AJ378),IF(AJ378&lt;0.005,1,0),"")</f>
        <v>0</v>
      </c>
      <c r="AQ378" s="34"/>
      <c r="AR378" s="35"/>
      <c r="AS378" s="36"/>
    </row>
    <row r="379" spans="1:45" ht="57" x14ac:dyDescent="0.45">
      <c r="A379" s="1" t="s">
        <v>84</v>
      </c>
      <c r="B379" s="1" t="s">
        <v>81</v>
      </c>
      <c r="C379" s="1">
        <v>182</v>
      </c>
      <c r="D379" s="1">
        <v>444.44</v>
      </c>
      <c r="E379" s="1">
        <v>-1.3</v>
      </c>
      <c r="F379" s="1">
        <v>3.5</v>
      </c>
      <c r="G379" s="1">
        <v>3.6</v>
      </c>
      <c r="H379" s="1">
        <v>1.35</v>
      </c>
      <c r="I379" s="1">
        <v>3.29</v>
      </c>
      <c r="J379" s="1">
        <v>3.0992000000000002</v>
      </c>
      <c r="K379" s="1" t="s">
        <v>50</v>
      </c>
      <c r="R379" s="1" t="s">
        <v>82</v>
      </c>
      <c r="S379" s="1">
        <v>238.11</v>
      </c>
      <c r="T379" s="1">
        <v>92</v>
      </c>
      <c r="U379" s="1">
        <v>2.08</v>
      </c>
      <c r="V379" s="1">
        <v>-6.26</v>
      </c>
      <c r="W379" s="1">
        <v>0.3</v>
      </c>
      <c r="X379" s="1">
        <f t="shared" si="56"/>
        <v>300</v>
      </c>
      <c r="Y379" s="1">
        <v>6.3</v>
      </c>
      <c r="Z379" s="1">
        <v>0.11</v>
      </c>
      <c r="AA379" s="1">
        <v>103.459032738095</v>
      </c>
      <c r="AB379" s="1">
        <v>7</v>
      </c>
      <c r="AC379" s="1">
        <v>25</v>
      </c>
      <c r="AH379" s="1">
        <v>3.9521400316458011E-2</v>
      </c>
      <c r="AJ379" s="1">
        <f>IF(ISNUMBER(AH379),1-AH379,"")</f>
        <v>0.96047859968354199</v>
      </c>
      <c r="AK379" s="1">
        <f>IF(AND(ISNUMBER(AJ379),AJ379&gt;0),LN(AJ379),"")</f>
        <v>-4.032357741367696E-2</v>
      </c>
      <c r="AM379">
        <v>50</v>
      </c>
      <c r="AN379">
        <f>IF(ISNUMBER(AJ379),IF(AJ379&gt;=0.05,1,0),"")</f>
        <v>1</v>
      </c>
      <c r="AO379">
        <f>IF(ISNUMBER(AJ379),IF(AJ379&lt;0.005,1,0),"")</f>
        <v>0</v>
      </c>
      <c r="AQ379" s="34"/>
      <c r="AR379" s="35"/>
      <c r="AS379" s="36"/>
    </row>
    <row r="380" spans="1:45" ht="57" x14ac:dyDescent="0.45">
      <c r="A380" s="1" t="s">
        <v>84</v>
      </c>
      <c r="B380" s="1" t="s">
        <v>81</v>
      </c>
      <c r="C380" s="1">
        <v>182</v>
      </c>
      <c r="D380" s="1">
        <v>444.44</v>
      </c>
      <c r="E380" s="1">
        <v>-1.3</v>
      </c>
      <c r="F380" s="1">
        <v>3.5</v>
      </c>
      <c r="G380" s="1">
        <v>3.6</v>
      </c>
      <c r="H380" s="1">
        <v>1.35</v>
      </c>
      <c r="I380" s="1">
        <v>3.29</v>
      </c>
      <c r="J380" s="1">
        <v>3.0992000000000002</v>
      </c>
      <c r="K380" s="1" t="s">
        <v>50</v>
      </c>
      <c r="R380" s="1" t="s">
        <v>82</v>
      </c>
      <c r="S380" s="1">
        <v>238.11</v>
      </c>
      <c r="T380" s="1">
        <v>92</v>
      </c>
      <c r="U380" s="1">
        <v>2.08</v>
      </c>
      <c r="V380" s="1">
        <v>-6.26</v>
      </c>
      <c r="W380" s="1">
        <v>0.3</v>
      </c>
      <c r="X380" s="1">
        <f t="shared" si="56"/>
        <v>300</v>
      </c>
      <c r="Y380" s="1">
        <v>6.3</v>
      </c>
      <c r="Z380" s="1">
        <v>0.11</v>
      </c>
      <c r="AA380" s="1">
        <v>123.97877480158699</v>
      </c>
      <c r="AB380" s="1">
        <v>7</v>
      </c>
      <c r="AC380" s="1">
        <v>25</v>
      </c>
      <c r="AH380" s="1">
        <v>4.9147191455699013E-2</v>
      </c>
      <c r="AJ380" s="1">
        <f>IF(ISNUMBER(AH380),1-AH380,"")</f>
        <v>0.95085280854430099</v>
      </c>
      <c r="AK380" s="1">
        <f>IF(AND(ISNUMBER(AJ380),AJ380&gt;0),LN(AJ380),"")</f>
        <v>-5.0396003868593858E-2</v>
      </c>
      <c r="AM380">
        <v>50</v>
      </c>
      <c r="AN380">
        <f>IF(ISNUMBER(AJ380),IF(AJ380&gt;=0.05,1,0),"")</f>
        <v>1</v>
      </c>
      <c r="AO380">
        <f>IF(ISNUMBER(AJ380),IF(AJ380&lt;0.005,1,0),"")</f>
        <v>0</v>
      </c>
      <c r="AQ380" s="34"/>
      <c r="AR380" s="35"/>
      <c r="AS380" s="36"/>
    </row>
    <row r="381" spans="1:45" ht="57" x14ac:dyDescent="0.45">
      <c r="A381" s="1" t="s">
        <v>84</v>
      </c>
      <c r="B381" s="1" t="s">
        <v>81</v>
      </c>
      <c r="C381" s="1">
        <v>182</v>
      </c>
      <c r="D381" s="1">
        <v>444.44</v>
      </c>
      <c r="E381" s="1">
        <v>-1.3</v>
      </c>
      <c r="F381" s="1">
        <v>3.5</v>
      </c>
      <c r="G381" s="1">
        <v>3.6</v>
      </c>
      <c r="H381" s="1">
        <v>1.35</v>
      </c>
      <c r="I381" s="1">
        <v>3.29</v>
      </c>
      <c r="J381" s="1">
        <v>3.0992000000000002</v>
      </c>
      <c r="K381" s="1" t="s">
        <v>49</v>
      </c>
      <c r="N381" s="1">
        <v>24.82</v>
      </c>
      <c r="O381" s="1">
        <v>0.1918</v>
      </c>
      <c r="Q381" s="1">
        <v>35.5</v>
      </c>
      <c r="R381" s="1" t="s">
        <v>82</v>
      </c>
      <c r="S381" s="1">
        <v>238.11</v>
      </c>
      <c r="T381" s="1">
        <v>92</v>
      </c>
      <c r="U381" s="1">
        <v>2.08</v>
      </c>
      <c r="V381" s="1">
        <v>-6.26</v>
      </c>
      <c r="W381" s="1">
        <v>0.3</v>
      </c>
      <c r="X381" s="1">
        <f t="shared" si="56"/>
        <v>300</v>
      </c>
      <c r="Y381" s="1">
        <v>6.3</v>
      </c>
      <c r="Z381" s="1">
        <v>0.11</v>
      </c>
      <c r="AA381" s="1">
        <v>0.37750496031748598</v>
      </c>
      <c r="AB381" s="1">
        <v>7</v>
      </c>
      <c r="AC381" s="1">
        <v>25</v>
      </c>
      <c r="AH381" s="1">
        <v>8.7188686708890017E-3</v>
      </c>
      <c r="AI381" s="1">
        <v>8.4221201769940407E-4</v>
      </c>
      <c r="AJ381" s="1">
        <f>IF(ISNUMBER(AH381),1-AH381,"")</f>
        <v>0.991281131329111</v>
      </c>
      <c r="AK381" s="1">
        <f>IF(AND(ISNUMBER(AJ381),AJ381&gt;0),LN(AJ381),"")</f>
        <v>-8.7571003934688134E-3</v>
      </c>
      <c r="AM381">
        <v>51</v>
      </c>
      <c r="AN381">
        <f>IF(ISNUMBER(AJ381),IF(AJ381&gt;=0.05,1,0),"")</f>
        <v>1</v>
      </c>
      <c r="AO381">
        <f>IF(ISNUMBER(AJ381),IF(AJ381&lt;0.005,1,0),"")</f>
        <v>0</v>
      </c>
      <c r="AP381">
        <f>IFERROR(MATCH(0,AN381:AN388,0)-1,8)</f>
        <v>8</v>
      </c>
      <c r="AQ381" s="34">
        <f>IF(AP381&lt;3,"n&lt;3",IFERROR(-SLOPE(AK381:INDEX(AK381:AK388,AP381),AA381:INDEX(AA381:AA388,AP381)),"no fit"))</f>
        <v>7.0396034312607324E-4</v>
      </c>
      <c r="AR381" s="35">
        <f>IF(AP381&lt;3,"",IFERROR(RSQ(AK381:INDEX(AK381:AK388,AP381),AA381:INDEX(AA381:AA388,AP381)),"flat"))</f>
        <v>0.91376125941400366</v>
      </c>
      <c r="AS381" s="36">
        <f>IFERROR(AQ381/AI381,"")</f>
        <v>0.83584694629390277</v>
      </c>
    </row>
    <row r="382" spans="1:45" ht="57" x14ac:dyDescent="0.45">
      <c r="A382" s="1" t="s">
        <v>84</v>
      </c>
      <c r="B382" s="1" t="s">
        <v>81</v>
      </c>
      <c r="C382" s="1">
        <v>182</v>
      </c>
      <c r="D382" s="1">
        <v>444.44</v>
      </c>
      <c r="E382" s="1">
        <v>-1.3</v>
      </c>
      <c r="F382" s="1">
        <v>3.5</v>
      </c>
      <c r="G382" s="1">
        <v>3.6</v>
      </c>
      <c r="H382" s="1">
        <v>1.35</v>
      </c>
      <c r="I382" s="1">
        <v>3.29</v>
      </c>
      <c r="J382" s="1">
        <v>3.0992000000000002</v>
      </c>
      <c r="K382" s="1" t="s">
        <v>49</v>
      </c>
      <c r="N382" s="1">
        <v>24.82</v>
      </c>
      <c r="O382" s="1">
        <v>0.1918</v>
      </c>
      <c r="Q382" s="1">
        <v>35.5</v>
      </c>
      <c r="R382" s="1" t="s">
        <v>82</v>
      </c>
      <c r="S382" s="1">
        <v>238.11</v>
      </c>
      <c r="T382" s="1">
        <v>92</v>
      </c>
      <c r="U382" s="1">
        <v>2.08</v>
      </c>
      <c r="V382" s="1">
        <v>-6.26</v>
      </c>
      <c r="W382" s="1">
        <v>0.3</v>
      </c>
      <c r="X382" s="1">
        <f t="shared" si="56"/>
        <v>300</v>
      </c>
      <c r="Y382" s="1">
        <v>6.3</v>
      </c>
      <c r="Z382" s="1">
        <v>0.11</v>
      </c>
      <c r="AA382" s="1">
        <v>10.516671626984101</v>
      </c>
      <c r="AB382" s="1">
        <v>7</v>
      </c>
      <c r="AC382" s="1">
        <v>25</v>
      </c>
      <c r="AH382" s="1">
        <v>4.3371716772154012E-2</v>
      </c>
      <c r="AJ382" s="1">
        <f>IF(ISNUMBER(AH382),1-AH382,"")</f>
        <v>0.95662828322784599</v>
      </c>
      <c r="AK382" s="1">
        <f>IF(AND(ISNUMBER(AJ382),AJ382&gt;0),LN(AJ382),"")</f>
        <v>-4.4340381762976416E-2</v>
      </c>
      <c r="AM382">
        <v>51</v>
      </c>
      <c r="AN382">
        <f>IF(ISNUMBER(AJ382),IF(AJ382&gt;=0.05,1,0),"")</f>
        <v>1</v>
      </c>
      <c r="AO382">
        <f>IF(ISNUMBER(AJ382),IF(AJ382&lt;0.005,1,0),"")</f>
        <v>0</v>
      </c>
      <c r="AQ382" s="34"/>
      <c r="AR382" s="35"/>
      <c r="AS382" s="36"/>
    </row>
    <row r="383" spans="1:45" ht="57" x14ac:dyDescent="0.45">
      <c r="A383" s="1" t="s">
        <v>84</v>
      </c>
      <c r="B383" s="1" t="s">
        <v>81</v>
      </c>
      <c r="C383" s="1">
        <v>182</v>
      </c>
      <c r="D383" s="1">
        <v>444.44</v>
      </c>
      <c r="E383" s="1">
        <v>-1.3</v>
      </c>
      <c r="F383" s="1">
        <v>3.5</v>
      </c>
      <c r="G383" s="1">
        <v>3.6</v>
      </c>
      <c r="H383" s="1">
        <v>1.35</v>
      </c>
      <c r="I383" s="1">
        <v>3.29</v>
      </c>
      <c r="J383" s="1">
        <v>3.0992000000000002</v>
      </c>
      <c r="K383" s="1" t="s">
        <v>49</v>
      </c>
      <c r="N383" s="1">
        <v>24.82</v>
      </c>
      <c r="O383" s="1">
        <v>0.1918</v>
      </c>
      <c r="Q383" s="1">
        <v>35.5</v>
      </c>
      <c r="R383" s="1" t="s">
        <v>82</v>
      </c>
      <c r="S383" s="1">
        <v>238.11</v>
      </c>
      <c r="T383" s="1">
        <v>92</v>
      </c>
      <c r="U383" s="1">
        <v>2.08</v>
      </c>
      <c r="V383" s="1">
        <v>-6.26</v>
      </c>
      <c r="W383" s="1">
        <v>0.3</v>
      </c>
      <c r="X383" s="1">
        <f t="shared" si="56"/>
        <v>300</v>
      </c>
      <c r="Y383" s="1">
        <v>6.3</v>
      </c>
      <c r="Z383" s="1">
        <v>0.11</v>
      </c>
      <c r="AA383" s="1">
        <v>20.1730208333333</v>
      </c>
      <c r="AB383" s="1">
        <v>7</v>
      </c>
      <c r="AC383" s="1">
        <v>25</v>
      </c>
      <c r="AH383" s="1">
        <v>4.7222033227851012E-2</v>
      </c>
      <c r="AJ383" s="1">
        <f>IF(ISNUMBER(AH383),1-AH383,"")</f>
        <v>0.95277796677214899</v>
      </c>
      <c r="AK383" s="1">
        <f>IF(AND(ISNUMBER(AJ383),AJ383&gt;0),LN(AJ383),"")</f>
        <v>-4.8373385922796275E-2</v>
      </c>
      <c r="AM383">
        <v>51</v>
      </c>
      <c r="AN383">
        <f>IF(ISNUMBER(AJ383),IF(AJ383&gt;=0.05,1,0),"")</f>
        <v>1</v>
      </c>
      <c r="AO383">
        <f>IF(ISNUMBER(AJ383),IF(AJ383&lt;0.005,1,0),"")</f>
        <v>0</v>
      </c>
      <c r="AQ383" s="34"/>
      <c r="AR383" s="35"/>
      <c r="AS383" s="36"/>
    </row>
    <row r="384" spans="1:45" ht="57" x14ac:dyDescent="0.45">
      <c r="A384" s="1" t="s">
        <v>84</v>
      </c>
      <c r="B384" s="1" t="s">
        <v>81</v>
      </c>
      <c r="C384" s="1">
        <v>182</v>
      </c>
      <c r="D384" s="1">
        <v>444.44</v>
      </c>
      <c r="E384" s="1">
        <v>-1.3</v>
      </c>
      <c r="F384" s="1">
        <v>3.5</v>
      </c>
      <c r="G384" s="1">
        <v>3.6</v>
      </c>
      <c r="H384" s="1">
        <v>1.35</v>
      </c>
      <c r="I384" s="1">
        <v>3.29</v>
      </c>
      <c r="J384" s="1">
        <v>3.0992000000000002</v>
      </c>
      <c r="K384" s="1" t="s">
        <v>49</v>
      </c>
      <c r="N384" s="1">
        <v>24.82</v>
      </c>
      <c r="O384" s="1">
        <v>0.1918</v>
      </c>
      <c r="Q384" s="1">
        <v>35.5</v>
      </c>
      <c r="R384" s="1" t="s">
        <v>82</v>
      </c>
      <c r="S384" s="1">
        <v>238.11</v>
      </c>
      <c r="T384" s="1">
        <v>92</v>
      </c>
      <c r="U384" s="1">
        <v>2.08</v>
      </c>
      <c r="V384" s="1">
        <v>-6.26</v>
      </c>
      <c r="W384" s="1">
        <v>0.3</v>
      </c>
      <c r="X384" s="1">
        <f t="shared" si="56"/>
        <v>300</v>
      </c>
      <c r="Y384" s="1">
        <v>6.3</v>
      </c>
      <c r="Z384" s="1">
        <v>0.11</v>
      </c>
      <c r="AA384" s="1">
        <v>41.175580357142898</v>
      </c>
      <c r="AB384" s="1">
        <v>7</v>
      </c>
      <c r="AC384" s="1">
        <v>25</v>
      </c>
      <c r="AH384" s="1">
        <v>4.7222033227851012E-2</v>
      </c>
      <c r="AJ384" s="1">
        <f>IF(ISNUMBER(AH384),1-AH384,"")</f>
        <v>0.95277796677214899</v>
      </c>
      <c r="AK384" s="1">
        <f>IF(AND(ISNUMBER(AJ384),AJ384&gt;0),LN(AJ384),"")</f>
        <v>-4.8373385922796275E-2</v>
      </c>
      <c r="AM384">
        <v>51</v>
      </c>
      <c r="AN384">
        <f>IF(ISNUMBER(AJ384),IF(AJ384&gt;=0.05,1,0),"")</f>
        <v>1</v>
      </c>
      <c r="AO384">
        <f>IF(ISNUMBER(AJ384),IF(AJ384&lt;0.005,1,0),"")</f>
        <v>0</v>
      </c>
      <c r="AQ384" s="34"/>
      <c r="AR384" s="35"/>
      <c r="AS384" s="36"/>
    </row>
    <row r="385" spans="1:45" ht="57" x14ac:dyDescent="0.45">
      <c r="A385" s="1" t="s">
        <v>84</v>
      </c>
      <c r="B385" s="1" t="s">
        <v>81</v>
      </c>
      <c r="C385" s="1">
        <v>182</v>
      </c>
      <c r="D385" s="1">
        <v>444.44</v>
      </c>
      <c r="E385" s="1">
        <v>-1.3</v>
      </c>
      <c r="F385" s="1">
        <v>3.5</v>
      </c>
      <c r="G385" s="1">
        <v>3.6</v>
      </c>
      <c r="H385" s="1">
        <v>1.35</v>
      </c>
      <c r="I385" s="1">
        <v>3.29</v>
      </c>
      <c r="J385" s="1">
        <v>3.0992000000000002</v>
      </c>
      <c r="K385" s="1" t="s">
        <v>49</v>
      </c>
      <c r="N385" s="1">
        <v>24.82</v>
      </c>
      <c r="O385" s="1">
        <v>0.1918</v>
      </c>
      <c r="Q385" s="1">
        <v>35.5</v>
      </c>
      <c r="R385" s="1" t="s">
        <v>82</v>
      </c>
      <c r="S385" s="1">
        <v>238.11</v>
      </c>
      <c r="T385" s="1">
        <v>92</v>
      </c>
      <c r="U385" s="1">
        <v>2.08</v>
      </c>
      <c r="V385" s="1">
        <v>-6.26</v>
      </c>
      <c r="W385" s="1">
        <v>0.3</v>
      </c>
      <c r="X385" s="1">
        <f t="shared" si="56"/>
        <v>300</v>
      </c>
      <c r="Y385" s="1">
        <v>6.3</v>
      </c>
      <c r="Z385" s="1">
        <v>0.11</v>
      </c>
      <c r="AA385" s="1">
        <v>62.1781398809525</v>
      </c>
      <c r="AB385" s="1">
        <v>7</v>
      </c>
      <c r="AC385" s="1">
        <v>25</v>
      </c>
      <c r="AH385" s="1">
        <v>5.6847824367091015E-2</v>
      </c>
      <c r="AJ385" s="1">
        <f>IF(ISNUMBER(AH385),1-AH385,"")</f>
        <v>0.94315217563290898</v>
      </c>
      <c r="AK385" s="1">
        <f>IF(AND(ISNUMBER(AJ385),AJ385&gt;0),LN(AJ385),"")</f>
        <v>-5.8527635420112793E-2</v>
      </c>
      <c r="AM385">
        <v>51</v>
      </c>
      <c r="AN385">
        <f>IF(ISNUMBER(AJ385),IF(AJ385&gt;=0.05,1,0),"")</f>
        <v>1</v>
      </c>
      <c r="AO385">
        <f>IF(ISNUMBER(AJ385),IF(AJ385&lt;0.005,1,0),"")</f>
        <v>0</v>
      </c>
      <c r="AQ385" s="34"/>
      <c r="AR385" s="35"/>
      <c r="AS385" s="36"/>
    </row>
    <row r="386" spans="1:45" ht="57" x14ac:dyDescent="0.45">
      <c r="A386" s="1" t="s">
        <v>84</v>
      </c>
      <c r="B386" s="1" t="s">
        <v>81</v>
      </c>
      <c r="C386" s="1">
        <v>182</v>
      </c>
      <c r="D386" s="1">
        <v>444.44</v>
      </c>
      <c r="E386" s="1">
        <v>-1.3</v>
      </c>
      <c r="F386" s="1">
        <v>3.5</v>
      </c>
      <c r="G386" s="1">
        <v>3.6</v>
      </c>
      <c r="H386" s="1">
        <v>1.35</v>
      </c>
      <c r="I386" s="1">
        <v>3.29</v>
      </c>
      <c r="J386" s="1">
        <v>3.0992000000000002</v>
      </c>
      <c r="K386" s="1" t="s">
        <v>49</v>
      </c>
      <c r="N386" s="1">
        <v>24.82</v>
      </c>
      <c r="O386" s="1">
        <v>0.1918</v>
      </c>
      <c r="Q386" s="1">
        <v>35.5</v>
      </c>
      <c r="R386" s="1" t="s">
        <v>82</v>
      </c>
      <c r="S386" s="1">
        <v>238.11</v>
      </c>
      <c r="T386" s="1">
        <v>92</v>
      </c>
      <c r="U386" s="1">
        <v>2.08</v>
      </c>
      <c r="V386" s="1">
        <v>-6.26</v>
      </c>
      <c r="W386" s="1">
        <v>0.3</v>
      </c>
      <c r="X386" s="1">
        <f t="shared" si="56"/>
        <v>300</v>
      </c>
      <c r="Y386" s="1">
        <v>6.3</v>
      </c>
      <c r="Z386" s="1">
        <v>0.11</v>
      </c>
      <c r="AA386" s="1">
        <v>82.215064484127097</v>
      </c>
      <c r="AB386" s="1">
        <v>7</v>
      </c>
      <c r="AC386" s="1">
        <v>25</v>
      </c>
      <c r="AH386" s="1">
        <v>7.224909018987602E-2</v>
      </c>
      <c r="AJ386" s="1">
        <f>IF(ISNUMBER(AH386),1-AH386,"")</f>
        <v>0.92775090981012398</v>
      </c>
      <c r="AK386" s="1">
        <f>IF(AND(ISNUMBER(AJ386),AJ386&gt;0),LN(AJ386),"")</f>
        <v>-7.4991998378883193E-2</v>
      </c>
      <c r="AM386">
        <v>51</v>
      </c>
      <c r="AN386">
        <f>IF(ISNUMBER(AJ386),IF(AJ386&gt;=0.05,1,0),"")</f>
        <v>1</v>
      </c>
      <c r="AO386">
        <f>IF(ISNUMBER(AJ386),IF(AJ386&lt;0.005,1,0),"")</f>
        <v>0</v>
      </c>
      <c r="AQ386" s="34"/>
      <c r="AR386" s="35"/>
      <c r="AS386" s="36"/>
    </row>
    <row r="387" spans="1:45" ht="57" x14ac:dyDescent="0.45">
      <c r="A387" s="1" t="s">
        <v>84</v>
      </c>
      <c r="B387" s="1" t="s">
        <v>81</v>
      </c>
      <c r="C387" s="1">
        <v>182</v>
      </c>
      <c r="D387" s="1">
        <v>444.44</v>
      </c>
      <c r="E387" s="1">
        <v>-1.3</v>
      </c>
      <c r="F387" s="1">
        <v>3.5</v>
      </c>
      <c r="G387" s="1">
        <v>3.6</v>
      </c>
      <c r="H387" s="1">
        <v>1.35</v>
      </c>
      <c r="I387" s="1">
        <v>3.29</v>
      </c>
      <c r="J387" s="1">
        <v>3.0992000000000002</v>
      </c>
      <c r="K387" s="1" t="s">
        <v>49</v>
      </c>
      <c r="N387" s="1">
        <v>24.82</v>
      </c>
      <c r="O387" s="1">
        <v>0.1918</v>
      </c>
      <c r="Q387" s="1">
        <v>35.5</v>
      </c>
      <c r="R387" s="1" t="s">
        <v>82</v>
      </c>
      <c r="S387" s="1">
        <v>238.11</v>
      </c>
      <c r="T387" s="1">
        <v>92</v>
      </c>
      <c r="U387" s="1">
        <v>2.08</v>
      </c>
      <c r="V387" s="1">
        <v>-6.26</v>
      </c>
      <c r="W387" s="1">
        <v>0.3</v>
      </c>
      <c r="X387" s="1">
        <f t="shared" si="56"/>
        <v>300</v>
      </c>
      <c r="Y387" s="1">
        <v>6.3</v>
      </c>
      <c r="Z387" s="1">
        <v>0.11</v>
      </c>
      <c r="AA387" s="1">
        <v>103.700441468254</v>
      </c>
      <c r="AB387" s="1">
        <v>7</v>
      </c>
      <c r="AC387" s="1">
        <v>25</v>
      </c>
      <c r="AH387" s="1">
        <v>9.5350988924053026E-2</v>
      </c>
      <c r="AJ387" s="1">
        <f>IF(ISNUMBER(AH387),1-AH387,"")</f>
        <v>0.90464901107594697</v>
      </c>
      <c r="AK387" s="1">
        <f>IF(AND(ISNUMBER(AJ387),AJ387&gt;0),LN(AJ387),"")</f>
        <v>-0.10020824357415704</v>
      </c>
      <c r="AM387">
        <v>51</v>
      </c>
      <c r="AN387">
        <f>IF(ISNUMBER(AJ387),IF(AJ387&gt;=0.05,1,0),"")</f>
        <v>1</v>
      </c>
      <c r="AO387">
        <f>IF(ISNUMBER(AJ387),IF(AJ387&lt;0.005,1,0),"")</f>
        <v>0</v>
      </c>
      <c r="AQ387" s="34"/>
      <c r="AR387" s="35"/>
      <c r="AS387" s="36"/>
    </row>
    <row r="388" spans="1:45" ht="57" x14ac:dyDescent="0.45">
      <c r="A388" s="1" t="s">
        <v>84</v>
      </c>
      <c r="B388" s="1" t="s">
        <v>81</v>
      </c>
      <c r="C388" s="1">
        <v>182</v>
      </c>
      <c r="D388" s="1">
        <v>444.44</v>
      </c>
      <c r="E388" s="1">
        <v>-1.3</v>
      </c>
      <c r="F388" s="1">
        <v>3.5</v>
      </c>
      <c r="G388" s="1">
        <v>3.6</v>
      </c>
      <c r="H388" s="1">
        <v>1.35</v>
      </c>
      <c r="I388" s="1">
        <v>3.29</v>
      </c>
      <c r="J388" s="1">
        <v>3.0992000000000002</v>
      </c>
      <c r="K388" s="1" t="s">
        <v>49</v>
      </c>
      <c r="N388" s="1">
        <v>24.82</v>
      </c>
      <c r="O388" s="1">
        <v>0.1918</v>
      </c>
      <c r="Q388" s="1">
        <v>35.5</v>
      </c>
      <c r="R388" s="1" t="s">
        <v>82</v>
      </c>
      <c r="S388" s="1">
        <v>238.11</v>
      </c>
      <c r="T388" s="1">
        <v>92</v>
      </c>
      <c r="U388" s="1">
        <v>2.08</v>
      </c>
      <c r="V388" s="1">
        <v>-6.26</v>
      </c>
      <c r="W388" s="1">
        <v>0.3</v>
      </c>
      <c r="X388" s="1">
        <f t="shared" ref="X388:X451" si="61">W388*1000</f>
        <v>300</v>
      </c>
      <c r="Y388" s="1">
        <v>6.3</v>
      </c>
      <c r="Z388" s="1">
        <v>0.11</v>
      </c>
      <c r="AA388" s="1">
        <v>124.220183531746</v>
      </c>
      <c r="AB388" s="1">
        <v>7</v>
      </c>
      <c r="AC388" s="1">
        <v>25</v>
      </c>
      <c r="AH388" s="1">
        <v>0.10690193829114203</v>
      </c>
      <c r="AJ388" s="1">
        <f>IF(ISNUMBER(AH388),1-AH388,"")</f>
        <v>0.89309806170885797</v>
      </c>
      <c r="AK388" s="1">
        <f>IF(AND(ISNUMBER(AJ388),AJ388&gt;0),LN(AJ388),"")</f>
        <v>-0.11305889259041038</v>
      </c>
      <c r="AM388">
        <v>51</v>
      </c>
      <c r="AN388">
        <f>IF(ISNUMBER(AJ388),IF(AJ388&gt;=0.05,1,0),"")</f>
        <v>1</v>
      </c>
      <c r="AO388">
        <f>IF(ISNUMBER(AJ388),IF(AJ388&lt;0.005,1,0),"")</f>
        <v>0</v>
      </c>
      <c r="AQ388" s="34"/>
      <c r="AR388" s="35"/>
      <c r="AS388" s="36"/>
    </row>
    <row r="389" spans="1:45" ht="57" x14ac:dyDescent="0.45">
      <c r="A389" s="1" t="s">
        <v>84</v>
      </c>
      <c r="B389" s="1" t="s">
        <v>81</v>
      </c>
      <c r="C389" s="1">
        <v>182</v>
      </c>
      <c r="D389" s="1">
        <v>444.44</v>
      </c>
      <c r="E389" s="1">
        <v>-1.3</v>
      </c>
      <c r="F389" s="1">
        <v>3.5</v>
      </c>
      <c r="G389" s="1">
        <v>3.6</v>
      </c>
      <c r="H389" s="1">
        <v>1.35</v>
      </c>
      <c r="I389" s="1">
        <v>3.29</v>
      </c>
      <c r="J389" s="1">
        <v>3.0992000000000002</v>
      </c>
      <c r="K389" s="1" t="s">
        <v>83</v>
      </c>
      <c r="N389" s="1">
        <v>13.98</v>
      </c>
      <c r="O389" s="1">
        <v>2.1000000000000001E-2</v>
      </c>
      <c r="P389" s="1">
        <v>7.45</v>
      </c>
      <c r="Q389" s="1">
        <v>40</v>
      </c>
      <c r="R389" s="1" t="s">
        <v>82</v>
      </c>
      <c r="S389" s="1">
        <v>238.11</v>
      </c>
      <c r="T389" s="1">
        <v>92</v>
      </c>
      <c r="U389" s="1">
        <v>2.08</v>
      </c>
      <c r="V389" s="1">
        <v>-6.26</v>
      </c>
      <c r="W389" s="1">
        <v>0.3</v>
      </c>
      <c r="X389" s="1">
        <f t="shared" si="61"/>
        <v>300</v>
      </c>
      <c r="Y389" s="1">
        <v>6.3</v>
      </c>
      <c r="Z389" s="1">
        <v>0.11</v>
      </c>
      <c r="AA389" s="1">
        <v>0.37750496031748598</v>
      </c>
      <c r="AB389" s="1">
        <v>7</v>
      </c>
      <c r="AC389" s="1">
        <v>25</v>
      </c>
      <c r="AH389" s="1">
        <v>8.7188686708890017E-3</v>
      </c>
      <c r="AI389" s="1">
        <v>1.1394958023619043E-2</v>
      </c>
      <c r="AJ389" s="1">
        <f>IF(ISNUMBER(AH389),1-AH389,"")</f>
        <v>0.991281131329111</v>
      </c>
      <c r="AK389" s="1">
        <f>IF(AND(ISNUMBER(AJ389),AJ389&gt;0),LN(AJ389),"")</f>
        <v>-8.7571003934688134E-3</v>
      </c>
      <c r="AM389">
        <v>52</v>
      </c>
      <c r="AN389">
        <f>IF(ISNUMBER(AJ389),IF(AJ389&gt;=0.05,1,0),"")</f>
        <v>1</v>
      </c>
      <c r="AO389">
        <f>IF(ISNUMBER(AJ389),IF(AJ389&lt;0.005,1,0),"")</f>
        <v>0</v>
      </c>
      <c r="AP389">
        <f>IFERROR(MATCH(0,AN389:AN396,0)-1,8)</f>
        <v>8</v>
      </c>
      <c r="AQ389" s="34">
        <f>IF(AP389&lt;3,"n&lt;3",IFERROR(-SLOPE(AK389:INDEX(AK389:AK396,AP389),AA389:INDEX(AA389:AA396,AP389)),"no fit"))</f>
        <v>9.0301669501349144E-3</v>
      </c>
      <c r="AR389" s="35">
        <f>IF(AP389&lt;3,"",IFERROR(RSQ(AK389:INDEX(AK389:AK396,AP389),AA389:INDEX(AA389:AA396,AP389)),"flat"))</f>
        <v>0.72566409303627444</v>
      </c>
      <c r="AS389" s="36">
        <f>IFERROR(AQ389/AI389,"")</f>
        <v>0.79247040062960494</v>
      </c>
    </row>
    <row r="390" spans="1:45" ht="57" x14ac:dyDescent="0.45">
      <c r="A390" s="1" t="s">
        <v>84</v>
      </c>
      <c r="B390" s="1" t="s">
        <v>81</v>
      </c>
      <c r="C390" s="1">
        <v>182</v>
      </c>
      <c r="D390" s="1">
        <v>444.44</v>
      </c>
      <c r="E390" s="1">
        <v>-1.3</v>
      </c>
      <c r="F390" s="1">
        <v>3.5</v>
      </c>
      <c r="G390" s="1">
        <v>3.6</v>
      </c>
      <c r="H390" s="1">
        <v>1.35</v>
      </c>
      <c r="I390" s="1">
        <v>3.29</v>
      </c>
      <c r="J390" s="1">
        <v>3.0992000000000002</v>
      </c>
      <c r="K390" s="1" t="s">
        <v>83</v>
      </c>
      <c r="N390" s="1">
        <v>13.98</v>
      </c>
      <c r="O390" s="1">
        <v>2.1000000000000001E-2</v>
      </c>
      <c r="P390" s="1">
        <v>7.45</v>
      </c>
      <c r="Q390" s="1">
        <v>40</v>
      </c>
      <c r="R390" s="1" t="s">
        <v>82</v>
      </c>
      <c r="S390" s="1">
        <v>238.11</v>
      </c>
      <c r="T390" s="1">
        <v>92</v>
      </c>
      <c r="U390" s="1">
        <v>2.08</v>
      </c>
      <c r="V390" s="1">
        <v>-6.26</v>
      </c>
      <c r="W390" s="1">
        <v>0.3</v>
      </c>
      <c r="X390" s="1">
        <f t="shared" si="61"/>
        <v>300</v>
      </c>
      <c r="Y390" s="1">
        <v>6.3</v>
      </c>
      <c r="Z390" s="1">
        <v>0.11</v>
      </c>
      <c r="AA390" s="1">
        <v>10.0338541666667</v>
      </c>
      <c r="AB390" s="1">
        <v>7</v>
      </c>
      <c r="AC390" s="1">
        <v>25</v>
      </c>
      <c r="AH390" s="1">
        <v>0.47268200158227902</v>
      </c>
      <c r="AJ390" s="1">
        <f>IF(ISNUMBER(AH390),1-AH390,"")</f>
        <v>0.52731799841772098</v>
      </c>
      <c r="AK390" s="1">
        <f>IF(AND(ISNUMBER(AJ390),AJ390&gt;0),LN(AJ390),"")</f>
        <v>-0.63995149986358424</v>
      </c>
      <c r="AM390">
        <v>52</v>
      </c>
      <c r="AN390">
        <f>IF(ISNUMBER(AJ390),IF(AJ390&gt;=0.05,1,0),"")</f>
        <v>1</v>
      </c>
      <c r="AO390">
        <f>IF(ISNUMBER(AJ390),IF(AJ390&lt;0.005,1,0),"")</f>
        <v>0</v>
      </c>
      <c r="AQ390" s="34"/>
      <c r="AR390" s="35"/>
      <c r="AS390" s="36"/>
    </row>
    <row r="391" spans="1:45" ht="57" x14ac:dyDescent="0.45">
      <c r="A391" s="1" t="s">
        <v>84</v>
      </c>
      <c r="B391" s="1" t="s">
        <v>81</v>
      </c>
      <c r="C391" s="1">
        <v>182</v>
      </c>
      <c r="D391" s="1">
        <v>444.44</v>
      </c>
      <c r="E391" s="1">
        <v>-1.3</v>
      </c>
      <c r="F391" s="1">
        <v>3.5</v>
      </c>
      <c r="G391" s="1">
        <v>3.6</v>
      </c>
      <c r="H391" s="1">
        <v>1.35</v>
      </c>
      <c r="I391" s="1">
        <v>3.29</v>
      </c>
      <c r="J391" s="1">
        <v>3.0992000000000002</v>
      </c>
      <c r="K391" s="1" t="s">
        <v>83</v>
      </c>
      <c r="N391" s="1">
        <v>13.98</v>
      </c>
      <c r="O391" s="1">
        <v>2.1000000000000001E-2</v>
      </c>
      <c r="P391" s="1">
        <v>7.45</v>
      </c>
      <c r="Q391" s="1">
        <v>40</v>
      </c>
      <c r="R391" s="1" t="s">
        <v>82</v>
      </c>
      <c r="S391" s="1">
        <v>238.11</v>
      </c>
      <c r="T391" s="1">
        <v>92</v>
      </c>
      <c r="U391" s="1">
        <v>2.08</v>
      </c>
      <c r="V391" s="1">
        <v>-6.26</v>
      </c>
      <c r="W391" s="1">
        <v>0.3</v>
      </c>
      <c r="X391" s="1">
        <f t="shared" si="61"/>
        <v>300</v>
      </c>
      <c r="Y391" s="1">
        <v>6.3</v>
      </c>
      <c r="Z391" s="1">
        <v>0.11</v>
      </c>
      <c r="AA391" s="1">
        <v>20.414429563492099</v>
      </c>
      <c r="AB391" s="1">
        <v>7</v>
      </c>
      <c r="AC391" s="1">
        <v>25</v>
      </c>
      <c r="AH391" s="1">
        <v>0.58626633702531694</v>
      </c>
      <c r="AJ391" s="1">
        <f>IF(ISNUMBER(AH391),1-AH391,"")</f>
        <v>0.41373366297468306</v>
      </c>
      <c r="AK391" s="1">
        <f>IF(AND(ISNUMBER(AJ391),AJ391&gt;0),LN(AJ391),"")</f>
        <v>-0.88253283832799134</v>
      </c>
      <c r="AM391">
        <v>52</v>
      </c>
      <c r="AN391">
        <f>IF(ISNUMBER(AJ391),IF(AJ391&gt;=0.05,1,0),"")</f>
        <v>1</v>
      </c>
      <c r="AO391">
        <f>IF(ISNUMBER(AJ391),IF(AJ391&lt;0.005,1,0),"")</f>
        <v>0</v>
      </c>
      <c r="AQ391" s="34"/>
      <c r="AR391" s="35"/>
      <c r="AS391" s="36"/>
    </row>
    <row r="392" spans="1:45" ht="57" x14ac:dyDescent="0.45">
      <c r="A392" s="1" t="s">
        <v>84</v>
      </c>
      <c r="B392" s="1" t="s">
        <v>81</v>
      </c>
      <c r="C392" s="1">
        <v>182</v>
      </c>
      <c r="D392" s="1">
        <v>444.44</v>
      </c>
      <c r="E392" s="1">
        <v>-1.3</v>
      </c>
      <c r="F392" s="1">
        <v>3.5</v>
      </c>
      <c r="G392" s="1">
        <v>3.6</v>
      </c>
      <c r="H392" s="1">
        <v>1.35</v>
      </c>
      <c r="I392" s="1">
        <v>3.29</v>
      </c>
      <c r="J392" s="1">
        <v>3.0992000000000002</v>
      </c>
      <c r="K392" s="1" t="s">
        <v>83</v>
      </c>
      <c r="N392" s="1">
        <v>13.98</v>
      </c>
      <c r="O392" s="1">
        <v>2.1000000000000001E-2</v>
      </c>
      <c r="P392" s="1">
        <v>7.45</v>
      </c>
      <c r="Q392" s="1">
        <v>40</v>
      </c>
      <c r="R392" s="1" t="s">
        <v>82</v>
      </c>
      <c r="S392" s="1">
        <v>238.11</v>
      </c>
      <c r="T392" s="1">
        <v>92</v>
      </c>
      <c r="U392" s="1">
        <v>2.08</v>
      </c>
      <c r="V392" s="1">
        <v>-6.26</v>
      </c>
      <c r="W392" s="1">
        <v>0.3</v>
      </c>
      <c r="X392" s="1">
        <f t="shared" si="61"/>
        <v>300</v>
      </c>
      <c r="Y392" s="1">
        <v>6.3</v>
      </c>
      <c r="Z392" s="1">
        <v>0.11</v>
      </c>
      <c r="AA392" s="1">
        <v>40.934171626984202</v>
      </c>
      <c r="AB392" s="1">
        <v>7</v>
      </c>
      <c r="AC392" s="1">
        <v>25</v>
      </c>
      <c r="AH392" s="1">
        <v>0.68252424841772097</v>
      </c>
      <c r="AJ392" s="1">
        <f>IF(ISNUMBER(AH392),1-AH392,"")</f>
        <v>0.31747575158227903</v>
      </c>
      <c r="AK392" s="1">
        <f>IF(AND(ISNUMBER(AJ392),AJ392&gt;0),LN(AJ392),"")</f>
        <v>-1.1473538365351543</v>
      </c>
      <c r="AM392">
        <v>52</v>
      </c>
      <c r="AN392">
        <f>IF(ISNUMBER(AJ392),IF(AJ392&gt;=0.05,1,0),"")</f>
        <v>1</v>
      </c>
      <c r="AO392">
        <f>IF(ISNUMBER(AJ392),IF(AJ392&lt;0.005,1,0),"")</f>
        <v>0</v>
      </c>
      <c r="AQ392" s="34"/>
      <c r="AR392" s="35"/>
      <c r="AS392" s="36"/>
    </row>
    <row r="393" spans="1:45" ht="57" x14ac:dyDescent="0.45">
      <c r="A393" s="1" t="s">
        <v>84</v>
      </c>
      <c r="B393" s="1" t="s">
        <v>81</v>
      </c>
      <c r="C393" s="1">
        <v>182</v>
      </c>
      <c r="D393" s="1">
        <v>444.44</v>
      </c>
      <c r="E393" s="1">
        <v>-1.3</v>
      </c>
      <c r="F393" s="1">
        <v>3.5</v>
      </c>
      <c r="G393" s="1">
        <v>3.6</v>
      </c>
      <c r="H393" s="1">
        <v>1.35</v>
      </c>
      <c r="I393" s="1">
        <v>3.29</v>
      </c>
      <c r="J393" s="1">
        <v>3.0992000000000002</v>
      </c>
      <c r="K393" s="1" t="s">
        <v>83</v>
      </c>
      <c r="N393" s="1">
        <v>13.98</v>
      </c>
      <c r="O393" s="1">
        <v>2.1000000000000001E-2</v>
      </c>
      <c r="P393" s="1">
        <v>7.45</v>
      </c>
      <c r="Q393" s="1">
        <v>40</v>
      </c>
      <c r="R393" s="1" t="s">
        <v>82</v>
      </c>
      <c r="S393" s="1">
        <v>238.11</v>
      </c>
      <c r="T393" s="1">
        <v>92</v>
      </c>
      <c r="U393" s="1">
        <v>2.08</v>
      </c>
      <c r="V393" s="1">
        <v>-6.26</v>
      </c>
      <c r="W393" s="1">
        <v>0.3</v>
      </c>
      <c r="X393" s="1">
        <f t="shared" si="61"/>
        <v>300</v>
      </c>
      <c r="Y393" s="1">
        <v>6.3</v>
      </c>
      <c r="Z393" s="1">
        <v>0.11</v>
      </c>
      <c r="AA393" s="1">
        <v>61.936731150793698</v>
      </c>
      <c r="AB393" s="1">
        <v>7</v>
      </c>
      <c r="AC393" s="1">
        <v>25</v>
      </c>
      <c r="AH393" s="1">
        <v>0.70947646360759498</v>
      </c>
      <c r="AJ393" s="1">
        <f>IF(ISNUMBER(AH393),1-AH393,"")</f>
        <v>0.29052353639240502</v>
      </c>
      <c r="AK393" s="1">
        <f>IF(AND(ISNUMBER(AJ393),AJ393&gt;0),LN(AJ393),"")</f>
        <v>-1.2360706856884709</v>
      </c>
      <c r="AM393">
        <v>52</v>
      </c>
      <c r="AN393">
        <f>IF(ISNUMBER(AJ393),IF(AJ393&gt;=0.05,1,0),"")</f>
        <v>1</v>
      </c>
      <c r="AO393">
        <f>IF(ISNUMBER(AJ393),IF(AJ393&lt;0.005,1,0),"")</f>
        <v>0</v>
      </c>
      <c r="AQ393" s="34"/>
      <c r="AR393" s="35"/>
      <c r="AS393" s="36"/>
    </row>
    <row r="394" spans="1:45" ht="57" x14ac:dyDescent="0.45">
      <c r="A394" s="1" t="s">
        <v>84</v>
      </c>
      <c r="B394" s="1" t="s">
        <v>81</v>
      </c>
      <c r="C394" s="1">
        <v>182</v>
      </c>
      <c r="D394" s="1">
        <v>444.44</v>
      </c>
      <c r="E394" s="1">
        <v>-1.3</v>
      </c>
      <c r="F394" s="1">
        <v>3.5</v>
      </c>
      <c r="G394" s="1">
        <v>3.6</v>
      </c>
      <c r="H394" s="1">
        <v>1.35</v>
      </c>
      <c r="I394" s="1">
        <v>3.29</v>
      </c>
      <c r="J394" s="1">
        <v>3.0992000000000002</v>
      </c>
      <c r="K394" s="1" t="s">
        <v>83</v>
      </c>
      <c r="N394" s="1">
        <v>13.98</v>
      </c>
      <c r="O394" s="1">
        <v>2.1000000000000001E-2</v>
      </c>
      <c r="P394" s="1">
        <v>7.45</v>
      </c>
      <c r="Q394" s="1">
        <v>40</v>
      </c>
      <c r="R394" s="1" t="s">
        <v>82</v>
      </c>
      <c r="S394" s="1">
        <v>238.11</v>
      </c>
      <c r="T394" s="1">
        <v>92</v>
      </c>
      <c r="U394" s="1">
        <v>2.08</v>
      </c>
      <c r="V394" s="1">
        <v>-6.26</v>
      </c>
      <c r="W394" s="1">
        <v>0.3</v>
      </c>
      <c r="X394" s="1">
        <f t="shared" si="61"/>
        <v>300</v>
      </c>
      <c r="Y394" s="1">
        <v>6.3</v>
      </c>
      <c r="Z394" s="1">
        <v>0.11</v>
      </c>
      <c r="AA394" s="1">
        <v>82.697881944444603</v>
      </c>
      <c r="AB394" s="1">
        <v>7</v>
      </c>
      <c r="AC394" s="1">
        <v>25</v>
      </c>
      <c r="AH394" s="1">
        <v>0.72680288765822798</v>
      </c>
      <c r="AJ394" s="1">
        <f>IF(ISNUMBER(AH394),1-AH394,"")</f>
        <v>0.27319711234177202</v>
      </c>
      <c r="AK394" s="1">
        <f>IF(AND(ISNUMBER(AJ394),AJ394&gt;0),LN(AJ394),"")</f>
        <v>-1.2975617211006156</v>
      </c>
      <c r="AM394">
        <v>52</v>
      </c>
      <c r="AN394">
        <f>IF(ISNUMBER(AJ394),IF(AJ394&gt;=0.05,1,0),"")</f>
        <v>1</v>
      </c>
      <c r="AO394">
        <f>IF(ISNUMBER(AJ394),IF(AJ394&lt;0.005,1,0),"")</f>
        <v>0</v>
      </c>
      <c r="AQ394" s="34"/>
      <c r="AR394" s="35"/>
      <c r="AS394" s="36"/>
    </row>
    <row r="395" spans="1:45" ht="57" x14ac:dyDescent="0.45">
      <c r="A395" s="1" t="s">
        <v>84</v>
      </c>
      <c r="B395" s="1" t="s">
        <v>81</v>
      </c>
      <c r="C395" s="1">
        <v>182</v>
      </c>
      <c r="D395" s="1">
        <v>444.44</v>
      </c>
      <c r="E395" s="1">
        <v>-1.3</v>
      </c>
      <c r="F395" s="1">
        <v>3.5</v>
      </c>
      <c r="G395" s="1">
        <v>3.6</v>
      </c>
      <c r="H395" s="1">
        <v>1.35</v>
      </c>
      <c r="I395" s="1">
        <v>3.29</v>
      </c>
      <c r="J395" s="1">
        <v>3.0992000000000002</v>
      </c>
      <c r="K395" s="1" t="s">
        <v>83</v>
      </c>
      <c r="N395" s="1">
        <v>13.98</v>
      </c>
      <c r="O395" s="1">
        <v>2.1000000000000001E-2</v>
      </c>
      <c r="P395" s="1">
        <v>7.45</v>
      </c>
      <c r="Q395" s="1">
        <v>40</v>
      </c>
      <c r="R395" s="1" t="s">
        <v>82</v>
      </c>
      <c r="S395" s="1">
        <v>238.11</v>
      </c>
      <c r="T395" s="1">
        <v>92</v>
      </c>
      <c r="U395" s="1">
        <v>2.08</v>
      </c>
      <c r="V395" s="1">
        <v>-6.26</v>
      </c>
      <c r="W395" s="1">
        <v>0.3</v>
      </c>
      <c r="X395" s="1">
        <f t="shared" si="61"/>
        <v>300</v>
      </c>
      <c r="Y395" s="1">
        <v>6.3</v>
      </c>
      <c r="Z395" s="1">
        <v>0.11</v>
      </c>
      <c r="AA395" s="1">
        <v>103.459032738095</v>
      </c>
      <c r="AB395" s="1">
        <v>7</v>
      </c>
      <c r="AC395" s="1">
        <v>25</v>
      </c>
      <c r="AH395" s="1">
        <v>0.74797962816455699</v>
      </c>
      <c r="AJ395" s="1">
        <f>IF(ISNUMBER(AH395),1-AH395,"")</f>
        <v>0.25202037183544301</v>
      </c>
      <c r="AK395" s="1">
        <f>IF(AND(ISNUMBER(AJ395),AJ395&gt;0),LN(AJ395),"")</f>
        <v>-1.3782453541213029</v>
      </c>
      <c r="AM395">
        <v>52</v>
      </c>
      <c r="AN395">
        <f>IF(ISNUMBER(AJ395),IF(AJ395&gt;=0.05,1,0),"")</f>
        <v>1</v>
      </c>
      <c r="AO395">
        <f>IF(ISNUMBER(AJ395),IF(AJ395&lt;0.005,1,0),"")</f>
        <v>0</v>
      </c>
      <c r="AQ395" s="34"/>
      <c r="AR395" s="35"/>
      <c r="AS395" s="36"/>
    </row>
    <row r="396" spans="1:45" ht="57" x14ac:dyDescent="0.45">
      <c r="A396" s="1" t="s">
        <v>84</v>
      </c>
      <c r="B396" s="1" t="s">
        <v>81</v>
      </c>
      <c r="C396" s="1">
        <v>182</v>
      </c>
      <c r="D396" s="1">
        <v>444.44</v>
      </c>
      <c r="E396" s="1">
        <v>-1.3</v>
      </c>
      <c r="F396" s="1">
        <v>3.5</v>
      </c>
      <c r="G396" s="1">
        <v>3.6</v>
      </c>
      <c r="H396" s="1">
        <v>1.35</v>
      </c>
      <c r="I396" s="1">
        <v>3.29</v>
      </c>
      <c r="J396" s="1">
        <v>3.0992000000000002</v>
      </c>
      <c r="K396" s="1" t="s">
        <v>83</v>
      </c>
      <c r="N396" s="1">
        <v>13.98</v>
      </c>
      <c r="O396" s="1">
        <v>2.1000000000000001E-2</v>
      </c>
      <c r="P396" s="1">
        <v>7.45</v>
      </c>
      <c r="Q396" s="1">
        <v>40</v>
      </c>
      <c r="R396" s="1" t="s">
        <v>82</v>
      </c>
      <c r="S396" s="1">
        <v>238.11</v>
      </c>
      <c r="T396" s="1">
        <v>92</v>
      </c>
      <c r="U396" s="1">
        <v>2.08</v>
      </c>
      <c r="V396" s="1">
        <v>-6.26</v>
      </c>
      <c r="W396" s="1">
        <v>0.3</v>
      </c>
      <c r="X396" s="1">
        <f t="shared" si="61"/>
        <v>300</v>
      </c>
      <c r="Y396" s="1">
        <v>6.3</v>
      </c>
      <c r="Z396" s="1">
        <v>0.11</v>
      </c>
      <c r="AA396" s="1">
        <v>123.97877480158699</v>
      </c>
      <c r="AB396" s="1">
        <v>7</v>
      </c>
      <c r="AC396" s="1">
        <v>25</v>
      </c>
      <c r="AH396" s="1">
        <v>0.75760541930379699</v>
      </c>
      <c r="AJ396" s="1">
        <f>IF(ISNUMBER(AH396),1-AH396,"")</f>
        <v>0.24239458069620301</v>
      </c>
      <c r="AK396" s="1">
        <f>IF(AND(ISNUMBER(AJ396),AJ396&gt;0),LN(AJ396),"")</f>
        <v>-1.4171883819007451</v>
      </c>
      <c r="AM396">
        <v>52</v>
      </c>
      <c r="AN396">
        <f>IF(ISNUMBER(AJ396),IF(AJ396&gt;=0.05,1,0),"")</f>
        <v>1</v>
      </c>
      <c r="AO396">
        <f>IF(ISNUMBER(AJ396),IF(AJ396&lt;0.005,1,0),"")</f>
        <v>0</v>
      </c>
      <c r="AQ396" s="34"/>
      <c r="AR396" s="35"/>
      <c r="AS396" s="36"/>
    </row>
    <row r="397" spans="1:45" ht="57" x14ac:dyDescent="0.45">
      <c r="A397" s="1" t="s">
        <v>85</v>
      </c>
      <c r="B397" s="1" t="s">
        <v>86</v>
      </c>
      <c r="C397" s="1">
        <v>182</v>
      </c>
      <c r="D397" s="1">
        <v>444.44</v>
      </c>
      <c r="E397" s="1">
        <v>-1.3</v>
      </c>
      <c r="F397" s="1">
        <v>3.5</v>
      </c>
      <c r="G397" s="1">
        <v>3.6</v>
      </c>
      <c r="H397" s="1">
        <v>1.35</v>
      </c>
      <c r="I397" s="1">
        <v>3.29</v>
      </c>
      <c r="J397" s="1">
        <v>3.0992000000000002</v>
      </c>
      <c r="K397" s="1" t="s">
        <v>50</v>
      </c>
      <c r="R397" s="1" t="s">
        <v>82</v>
      </c>
      <c r="S397" s="1">
        <v>238.11</v>
      </c>
      <c r="T397" s="1">
        <v>92</v>
      </c>
      <c r="U397" s="1">
        <v>2.08</v>
      </c>
      <c r="V397" s="1">
        <v>-6.26</v>
      </c>
      <c r="W397" s="1">
        <v>0</v>
      </c>
      <c r="X397" s="1">
        <f t="shared" si="61"/>
        <v>0</v>
      </c>
      <c r="Y397" s="1">
        <v>6.3</v>
      </c>
      <c r="Z397" s="1">
        <v>0.11</v>
      </c>
      <c r="AA397" s="1">
        <v>1.5044247787592601E-2</v>
      </c>
      <c r="AB397" s="1">
        <v>11</v>
      </c>
      <c r="AC397" s="1">
        <v>25</v>
      </c>
      <c r="AH397" s="1">
        <v>-6.9083195328700775E-3</v>
      </c>
      <c r="AI397" s="1">
        <v>8.2643874479967419E-3</v>
      </c>
      <c r="AJ397" s="1">
        <f>IF(ISNUMBER(AH397),1-AH397,"")</f>
        <v>1.0069083195328701</v>
      </c>
      <c r="AK397" s="1">
        <f>IF(AND(ISNUMBER(AJ397),AJ397&gt;0),LN(AJ397),"")</f>
        <v>6.8845664267696361E-3</v>
      </c>
      <c r="AM397">
        <v>53</v>
      </c>
      <c r="AN397">
        <f>IF(ISNUMBER(AJ397),IF(AJ397&gt;=0.05,1,0),"")</f>
        <v>1</v>
      </c>
      <c r="AO397">
        <f>IF(ISNUMBER(AJ397),IF(AJ397&lt;0.005,1,0),"")</f>
        <v>0</v>
      </c>
      <c r="AP397">
        <f>IFERROR(MATCH(0,AN397:AN404,0)-1,8)</f>
        <v>8</v>
      </c>
      <c r="AQ397" s="34">
        <f>IF(AP397&lt;3,"n&lt;3",IFERROR(-SLOPE(AK397:INDEX(AK397:AK404,AP397),AA397:INDEX(AA397:AA404,AP397)),"no fit"))</f>
        <v>8.9728282246757697E-3</v>
      </c>
      <c r="AR397" s="35">
        <f>IF(AP397&lt;3,"",IFERROR(RSQ(AK397:INDEX(AK397:AK404,AP397),AA397:INDEX(AA397:AA404,AP397)),"flat"))</f>
        <v>0.98298232777980665</v>
      </c>
      <c r="AS397" s="36">
        <f>IFERROR(AQ397/AI397,"")</f>
        <v>1.0857221156603387</v>
      </c>
    </row>
    <row r="398" spans="1:45" ht="57" x14ac:dyDescent="0.45">
      <c r="A398" s="1" t="s">
        <v>85</v>
      </c>
      <c r="B398" s="1" t="s">
        <v>86</v>
      </c>
      <c r="C398" s="1">
        <v>182</v>
      </c>
      <c r="D398" s="1">
        <v>444.44</v>
      </c>
      <c r="E398" s="1">
        <v>-1.3</v>
      </c>
      <c r="F398" s="1">
        <v>3.5</v>
      </c>
      <c r="G398" s="1">
        <v>3.6</v>
      </c>
      <c r="H398" s="1">
        <v>1.35</v>
      </c>
      <c r="I398" s="1">
        <v>3.29</v>
      </c>
      <c r="J398" s="1">
        <v>3.0992000000000002</v>
      </c>
      <c r="K398" s="1" t="s">
        <v>50</v>
      </c>
      <c r="R398" s="1" t="s">
        <v>82</v>
      </c>
      <c r="S398" s="1">
        <v>238.11</v>
      </c>
      <c r="T398" s="1">
        <v>92</v>
      </c>
      <c r="U398" s="1">
        <v>2.08</v>
      </c>
      <c r="V398" s="1">
        <v>-6.26</v>
      </c>
      <c r="W398" s="1">
        <v>0</v>
      </c>
      <c r="X398" s="1">
        <f t="shared" si="61"/>
        <v>0</v>
      </c>
      <c r="Y398" s="1">
        <v>6.3</v>
      </c>
      <c r="Z398" s="1">
        <v>0.11</v>
      </c>
      <c r="AA398" s="1">
        <v>9.7548672566371799</v>
      </c>
      <c r="AB398" s="1">
        <v>11</v>
      </c>
      <c r="AC398" s="1">
        <v>25</v>
      </c>
      <c r="AH398" s="1">
        <v>4.1607305467129985E-2</v>
      </c>
      <c r="AJ398" s="1">
        <f>IF(ISNUMBER(AH398),1-AH398,"")</f>
        <v>0.95839269453287002</v>
      </c>
      <c r="AK398" s="1">
        <f>IF(AND(ISNUMBER(AJ398),AJ398&gt;0),LN(AJ398),"")</f>
        <v>-4.2497674215874234E-2</v>
      </c>
      <c r="AM398">
        <v>53</v>
      </c>
      <c r="AN398">
        <f>IF(ISNUMBER(AJ398),IF(AJ398&gt;=0.05,1,0),"")</f>
        <v>1</v>
      </c>
      <c r="AO398">
        <f>IF(ISNUMBER(AJ398),IF(AJ398&lt;0.005,1,0),"")</f>
        <v>0</v>
      </c>
      <c r="AQ398" s="34"/>
      <c r="AR398" s="35"/>
      <c r="AS398" s="36"/>
    </row>
    <row r="399" spans="1:45" ht="57" x14ac:dyDescent="0.45">
      <c r="A399" s="1" t="s">
        <v>85</v>
      </c>
      <c r="B399" s="1" t="s">
        <v>86</v>
      </c>
      <c r="C399" s="1">
        <v>182</v>
      </c>
      <c r="D399" s="1">
        <v>444.44</v>
      </c>
      <c r="E399" s="1">
        <v>-1.3</v>
      </c>
      <c r="F399" s="1">
        <v>3.5</v>
      </c>
      <c r="G399" s="1">
        <v>3.6</v>
      </c>
      <c r="H399" s="1">
        <v>1.35</v>
      </c>
      <c r="I399" s="1">
        <v>3.29</v>
      </c>
      <c r="J399" s="1">
        <v>3.0992000000000002</v>
      </c>
      <c r="K399" s="1" t="s">
        <v>50</v>
      </c>
      <c r="R399" s="1" t="s">
        <v>82</v>
      </c>
      <c r="S399" s="1">
        <v>238.11</v>
      </c>
      <c r="T399" s="1">
        <v>92</v>
      </c>
      <c r="U399" s="1">
        <v>2.08</v>
      </c>
      <c r="V399" s="1">
        <v>-6.26</v>
      </c>
      <c r="W399" s="1">
        <v>0</v>
      </c>
      <c r="X399" s="1">
        <f t="shared" si="61"/>
        <v>0</v>
      </c>
      <c r="Y399" s="1">
        <v>6.3</v>
      </c>
      <c r="Z399" s="1">
        <v>0.11</v>
      </c>
      <c r="AA399" s="1">
        <v>19.931858407079599</v>
      </c>
      <c r="AB399" s="1">
        <v>11</v>
      </c>
      <c r="AC399" s="1">
        <v>25</v>
      </c>
      <c r="AH399" s="1">
        <v>7.7544805467130051E-2</v>
      </c>
      <c r="AJ399" s="1">
        <f>IF(ISNUMBER(AH399),1-AH399,"")</f>
        <v>0.92245519453286995</v>
      </c>
      <c r="AK399" s="1">
        <f>IF(AND(ISNUMBER(AJ399),AJ399&gt;0),LN(AJ399),"")</f>
        <v>-8.0716473859061694E-2</v>
      </c>
      <c r="AM399">
        <v>53</v>
      </c>
      <c r="AN399">
        <f>IF(ISNUMBER(AJ399),IF(AJ399&gt;=0.05,1,0),"")</f>
        <v>1</v>
      </c>
      <c r="AO399">
        <f>IF(ISNUMBER(AJ399),IF(AJ399&lt;0.005,1,0),"")</f>
        <v>0</v>
      </c>
      <c r="AQ399" s="34"/>
      <c r="AR399" s="35"/>
      <c r="AS399" s="36"/>
    </row>
    <row r="400" spans="1:45" ht="57" x14ac:dyDescent="0.45">
      <c r="A400" s="1" t="s">
        <v>85</v>
      </c>
      <c r="B400" s="1" t="s">
        <v>86</v>
      </c>
      <c r="C400" s="1">
        <v>182</v>
      </c>
      <c r="D400" s="1">
        <v>444.44</v>
      </c>
      <c r="E400" s="1">
        <v>-1.3</v>
      </c>
      <c r="F400" s="1">
        <v>3.5</v>
      </c>
      <c r="G400" s="1">
        <v>3.6</v>
      </c>
      <c r="H400" s="1">
        <v>1.35</v>
      </c>
      <c r="I400" s="1">
        <v>3.29</v>
      </c>
      <c r="J400" s="1">
        <v>3.0992000000000002</v>
      </c>
      <c r="K400" s="1" t="s">
        <v>50</v>
      </c>
      <c r="R400" s="1" t="s">
        <v>82</v>
      </c>
      <c r="S400" s="1">
        <v>238.11</v>
      </c>
      <c r="T400" s="1">
        <v>92</v>
      </c>
      <c r="U400" s="1">
        <v>2.08</v>
      </c>
      <c r="V400" s="1">
        <v>-6.26</v>
      </c>
      <c r="W400" s="1">
        <v>0</v>
      </c>
      <c r="X400" s="1">
        <f t="shared" si="61"/>
        <v>0</v>
      </c>
      <c r="Y400" s="1">
        <v>6.3</v>
      </c>
      <c r="Z400" s="1">
        <v>0.11</v>
      </c>
      <c r="AA400" s="1">
        <v>40.489380530973399</v>
      </c>
      <c r="AB400" s="1">
        <v>11</v>
      </c>
      <c r="AC400" s="1">
        <v>25</v>
      </c>
      <c r="AH400" s="1">
        <v>0.19973230546712994</v>
      </c>
      <c r="AJ400" s="1">
        <f>IF(ISNUMBER(AH400),1-AH400,"")</f>
        <v>0.80026769453287006</v>
      </c>
      <c r="AK400" s="1">
        <f>IF(AND(ISNUMBER(AJ400),AJ400&gt;0),LN(AJ400),"")</f>
        <v>-0.22280898912029487</v>
      </c>
      <c r="AM400">
        <v>53</v>
      </c>
      <c r="AN400">
        <f>IF(ISNUMBER(AJ400),IF(AJ400&gt;=0.05,1,0),"")</f>
        <v>1</v>
      </c>
      <c r="AO400">
        <f>IF(ISNUMBER(AJ400),IF(AJ400&lt;0.005,1,0),"")</f>
        <v>0</v>
      </c>
      <c r="AQ400" s="34"/>
      <c r="AR400" s="35"/>
      <c r="AS400" s="36"/>
    </row>
    <row r="401" spans="1:45" ht="57" x14ac:dyDescent="0.45">
      <c r="A401" s="1" t="s">
        <v>85</v>
      </c>
      <c r="B401" s="1" t="s">
        <v>86</v>
      </c>
      <c r="C401" s="1">
        <v>182</v>
      </c>
      <c r="D401" s="1">
        <v>444.44</v>
      </c>
      <c r="E401" s="1">
        <v>-1.3</v>
      </c>
      <c r="F401" s="1">
        <v>3.5</v>
      </c>
      <c r="G401" s="1">
        <v>3.6</v>
      </c>
      <c r="H401" s="1">
        <v>1.35</v>
      </c>
      <c r="I401" s="1">
        <v>3.29</v>
      </c>
      <c r="J401" s="1">
        <v>3.0992000000000002</v>
      </c>
      <c r="K401" s="1" t="s">
        <v>50</v>
      </c>
      <c r="R401" s="1" t="s">
        <v>82</v>
      </c>
      <c r="S401" s="1">
        <v>238.11</v>
      </c>
      <c r="T401" s="1">
        <v>92</v>
      </c>
      <c r="U401" s="1">
        <v>2.08</v>
      </c>
      <c r="V401" s="1">
        <v>-6.26</v>
      </c>
      <c r="W401" s="1">
        <v>0</v>
      </c>
      <c r="X401" s="1">
        <f t="shared" si="61"/>
        <v>0</v>
      </c>
      <c r="Y401" s="1">
        <v>6.3</v>
      </c>
      <c r="Z401" s="1">
        <v>0.11</v>
      </c>
      <c r="AA401" s="1">
        <v>60.436283185840701</v>
      </c>
      <c r="AB401" s="1">
        <v>11</v>
      </c>
      <c r="AC401" s="1">
        <v>25</v>
      </c>
      <c r="AH401" s="1">
        <v>0.35246668046713003</v>
      </c>
      <c r="AJ401" s="1">
        <f>IF(ISNUMBER(AH401),1-AH401,"")</f>
        <v>0.64753331953286997</v>
      </c>
      <c r="AK401" s="1">
        <f>IF(AND(ISNUMBER(AJ401),AJ401&gt;0),LN(AJ401),"")</f>
        <v>-0.43458502799437654</v>
      </c>
      <c r="AM401">
        <v>53</v>
      </c>
      <c r="AN401">
        <f>IF(ISNUMBER(AJ401),IF(AJ401&gt;=0.05,1,0),"")</f>
        <v>1</v>
      </c>
      <c r="AO401">
        <f>IF(ISNUMBER(AJ401),IF(AJ401&lt;0.005,1,0),"")</f>
        <v>0</v>
      </c>
      <c r="AQ401" s="34"/>
      <c r="AR401" s="35"/>
      <c r="AS401" s="36"/>
    </row>
    <row r="402" spans="1:45" ht="57" x14ac:dyDescent="0.45">
      <c r="A402" s="1" t="s">
        <v>85</v>
      </c>
      <c r="B402" s="1" t="s">
        <v>86</v>
      </c>
      <c r="C402" s="1">
        <v>182</v>
      </c>
      <c r="D402" s="1">
        <v>444.44</v>
      </c>
      <c r="E402" s="1">
        <v>-1.3</v>
      </c>
      <c r="F402" s="1">
        <v>3.5</v>
      </c>
      <c r="G402" s="1">
        <v>3.6</v>
      </c>
      <c r="H402" s="1">
        <v>1.35</v>
      </c>
      <c r="I402" s="1">
        <v>3.29</v>
      </c>
      <c r="J402" s="1">
        <v>3.0992000000000002</v>
      </c>
      <c r="K402" s="1" t="s">
        <v>50</v>
      </c>
      <c r="R402" s="1" t="s">
        <v>82</v>
      </c>
      <c r="S402" s="1">
        <v>238.11</v>
      </c>
      <c r="T402" s="1">
        <v>92</v>
      </c>
      <c r="U402" s="1">
        <v>2.08</v>
      </c>
      <c r="V402" s="1">
        <v>-6.26</v>
      </c>
      <c r="W402" s="1">
        <v>0</v>
      </c>
      <c r="X402" s="1">
        <f t="shared" si="61"/>
        <v>0</v>
      </c>
      <c r="Y402" s="1">
        <v>6.3</v>
      </c>
      <c r="Z402" s="1">
        <v>0.11</v>
      </c>
      <c r="AA402" s="1">
        <v>80.179646017699099</v>
      </c>
      <c r="AB402" s="1">
        <v>11</v>
      </c>
      <c r="AC402" s="1">
        <v>25</v>
      </c>
      <c r="AH402" s="1">
        <v>0.50520105546712901</v>
      </c>
      <c r="AJ402" s="1">
        <f>IF(ISNUMBER(AH402),1-AH402,"")</f>
        <v>0.49479894453287099</v>
      </c>
      <c r="AK402" s="1">
        <f>IF(AND(ISNUMBER(AJ402),AJ402&gt;0),LN(AJ402),"")</f>
        <v>-0.70360377158477172</v>
      </c>
      <c r="AM402">
        <v>53</v>
      </c>
      <c r="AN402">
        <f>IF(ISNUMBER(AJ402),IF(AJ402&gt;=0.05,1,0),"")</f>
        <v>1</v>
      </c>
      <c r="AO402">
        <f>IF(ISNUMBER(AJ402),IF(AJ402&lt;0.005,1,0),"")</f>
        <v>0</v>
      </c>
      <c r="AQ402" s="34"/>
      <c r="AR402" s="35"/>
      <c r="AS402" s="36"/>
    </row>
    <row r="403" spans="1:45" ht="57" x14ac:dyDescent="0.45">
      <c r="A403" s="1" t="s">
        <v>85</v>
      </c>
      <c r="B403" s="1" t="s">
        <v>86</v>
      </c>
      <c r="C403" s="1">
        <v>182</v>
      </c>
      <c r="D403" s="1">
        <v>444.44</v>
      </c>
      <c r="E403" s="1">
        <v>-1.3</v>
      </c>
      <c r="F403" s="1">
        <v>3.5</v>
      </c>
      <c r="G403" s="1">
        <v>3.6</v>
      </c>
      <c r="H403" s="1">
        <v>1.35</v>
      </c>
      <c r="I403" s="1">
        <v>3.29</v>
      </c>
      <c r="J403" s="1">
        <v>3.0992000000000002</v>
      </c>
      <c r="K403" s="1" t="s">
        <v>50</v>
      </c>
      <c r="R403" s="1" t="s">
        <v>82</v>
      </c>
      <c r="S403" s="1">
        <v>238.11</v>
      </c>
      <c r="T403" s="1">
        <v>92</v>
      </c>
      <c r="U403" s="1">
        <v>2.08</v>
      </c>
      <c r="V403" s="1">
        <v>-6.26</v>
      </c>
      <c r="W403" s="1">
        <v>0</v>
      </c>
      <c r="X403" s="1">
        <f t="shared" si="61"/>
        <v>0</v>
      </c>
      <c r="Y403" s="1">
        <v>6.3</v>
      </c>
      <c r="Z403" s="1">
        <v>0.11</v>
      </c>
      <c r="AA403" s="1">
        <v>100.53362831858399</v>
      </c>
      <c r="AB403" s="1">
        <v>11</v>
      </c>
      <c r="AC403" s="1">
        <v>25</v>
      </c>
      <c r="AH403" s="1">
        <v>0.59145105546712906</v>
      </c>
      <c r="AJ403" s="1">
        <f>IF(ISNUMBER(AH403),1-AH403,"")</f>
        <v>0.40854894453287094</v>
      </c>
      <c r="AK403" s="1">
        <f>IF(AND(ISNUMBER(AJ403),AJ403&gt;0),LN(AJ403),"")</f>
        <v>-0.89514355660140821</v>
      </c>
      <c r="AM403">
        <v>53</v>
      </c>
      <c r="AN403">
        <f>IF(ISNUMBER(AJ403),IF(AJ403&gt;=0.05,1,0),"")</f>
        <v>1</v>
      </c>
      <c r="AO403">
        <f>IF(ISNUMBER(AJ403),IF(AJ403&lt;0.005,1,0),"")</f>
        <v>0</v>
      </c>
      <c r="AQ403" s="34"/>
      <c r="AR403" s="35"/>
      <c r="AS403" s="36"/>
    </row>
    <row r="404" spans="1:45" ht="57" x14ac:dyDescent="0.45">
      <c r="A404" s="1" t="s">
        <v>85</v>
      </c>
      <c r="B404" s="1" t="s">
        <v>86</v>
      </c>
      <c r="C404" s="1">
        <v>182</v>
      </c>
      <c r="D404" s="1">
        <v>444.44</v>
      </c>
      <c r="E404" s="1">
        <v>-1.3</v>
      </c>
      <c r="F404" s="1">
        <v>3.5</v>
      </c>
      <c r="G404" s="1">
        <v>3.6</v>
      </c>
      <c r="H404" s="1">
        <v>1.35</v>
      </c>
      <c r="I404" s="1">
        <v>3.29</v>
      </c>
      <c r="J404" s="1">
        <v>3.0992000000000002</v>
      </c>
      <c r="K404" s="1" t="s">
        <v>50</v>
      </c>
      <c r="R404" s="1" t="s">
        <v>82</v>
      </c>
      <c r="S404" s="1">
        <v>238.11</v>
      </c>
      <c r="T404" s="1">
        <v>92</v>
      </c>
      <c r="U404" s="1">
        <v>2.08</v>
      </c>
      <c r="V404" s="1">
        <v>-6.26</v>
      </c>
      <c r="W404" s="1">
        <v>0</v>
      </c>
      <c r="X404" s="1">
        <f t="shared" si="61"/>
        <v>0</v>
      </c>
      <c r="Y404" s="1">
        <v>6.3</v>
      </c>
      <c r="Z404" s="1">
        <v>0.11</v>
      </c>
      <c r="AA404" s="1">
        <v>120.887610619469</v>
      </c>
      <c r="AB404" s="1">
        <v>11</v>
      </c>
      <c r="AC404" s="1">
        <v>25</v>
      </c>
      <c r="AH404" s="1">
        <v>0.62918543046712894</v>
      </c>
      <c r="AJ404" s="1">
        <f>IF(ISNUMBER(AH404),1-AH404,"")</f>
        <v>0.37081456953287106</v>
      </c>
      <c r="AK404" s="1">
        <f>IF(AND(ISNUMBER(AJ404),AJ404&gt;0),LN(AJ404),"")</f>
        <v>-0.99205315390250726</v>
      </c>
      <c r="AM404">
        <v>53</v>
      </c>
      <c r="AN404">
        <f>IF(ISNUMBER(AJ404),IF(AJ404&gt;=0.05,1,0),"")</f>
        <v>1</v>
      </c>
      <c r="AO404">
        <f>IF(ISNUMBER(AJ404),IF(AJ404&lt;0.005,1,0),"")</f>
        <v>0</v>
      </c>
      <c r="AQ404" s="34"/>
      <c r="AR404" s="35"/>
      <c r="AS404" s="36"/>
    </row>
    <row r="405" spans="1:45" ht="57" x14ac:dyDescent="0.45">
      <c r="A405" s="1" t="s">
        <v>85</v>
      </c>
      <c r="B405" s="1" t="s">
        <v>86</v>
      </c>
      <c r="C405" s="1">
        <v>182</v>
      </c>
      <c r="D405" s="1">
        <v>444.44</v>
      </c>
      <c r="E405" s="1">
        <v>-1.3</v>
      </c>
      <c r="F405" s="1">
        <v>3.5</v>
      </c>
      <c r="G405" s="1">
        <v>3.6</v>
      </c>
      <c r="H405" s="1">
        <v>1.35</v>
      </c>
      <c r="I405" s="1">
        <v>3.29</v>
      </c>
      <c r="J405" s="1">
        <v>3.0992000000000002</v>
      </c>
      <c r="K405" s="1" t="s">
        <v>49</v>
      </c>
      <c r="N405" s="1">
        <v>24.82</v>
      </c>
      <c r="O405" s="1">
        <v>0.1918</v>
      </c>
      <c r="Q405" s="1">
        <v>35.5</v>
      </c>
      <c r="R405" s="1" t="s">
        <v>82</v>
      </c>
      <c r="S405" s="1">
        <v>238.11</v>
      </c>
      <c r="T405" s="1">
        <v>92</v>
      </c>
      <c r="U405" s="1">
        <v>2.08</v>
      </c>
      <c r="V405" s="1">
        <v>-6.26</v>
      </c>
      <c r="W405" s="1">
        <v>0.3</v>
      </c>
      <c r="X405" s="1">
        <f t="shared" si="61"/>
        <v>300</v>
      </c>
      <c r="Y405" s="1">
        <v>6.3</v>
      </c>
      <c r="Z405" s="1">
        <v>0.11</v>
      </c>
      <c r="AA405" s="1">
        <v>0.39203539823010197</v>
      </c>
      <c r="AB405" s="1">
        <v>11</v>
      </c>
      <c r="AC405" s="1">
        <v>25</v>
      </c>
      <c r="AH405" s="1">
        <v>-6.9083195328700775E-3</v>
      </c>
      <c r="AI405" s="1">
        <v>1.0453835175661971E-2</v>
      </c>
      <c r="AJ405" s="1">
        <f>IF(ISNUMBER(AH405),1-AH405,"")</f>
        <v>1.0069083195328701</v>
      </c>
      <c r="AK405" s="1">
        <f>IF(AND(ISNUMBER(AJ405),AJ405&gt;0),LN(AJ405),"")</f>
        <v>6.8845664267696361E-3</v>
      </c>
      <c r="AM405">
        <v>54</v>
      </c>
      <c r="AN405">
        <f>IF(ISNUMBER(AJ405),IF(AJ405&gt;=0.05,1,0),"")</f>
        <v>1</v>
      </c>
      <c r="AO405">
        <f>IF(ISNUMBER(AJ405),IF(AJ405&lt;0.005,1,0),"")</f>
        <v>0</v>
      </c>
      <c r="AP405">
        <f>IFERROR(MATCH(0,AN405:AN412,0)-1,8)</f>
        <v>8</v>
      </c>
      <c r="AQ405" s="34">
        <f>IF(AP405&lt;3,"n&lt;3",IFERROR(-SLOPE(AK405:INDEX(AK405:AK412,AP405),AA405:INDEX(AA405:AA412,AP405)),"no fit"))</f>
        <v>1.0722652641711117E-2</v>
      </c>
      <c r="AR405" s="35">
        <f>IF(AP405&lt;3,"",IFERROR(RSQ(AK405:INDEX(AK405:AK412,AP405),AA405:INDEX(AA405:AA412,AP405)),"flat"))</f>
        <v>0.91558782744067435</v>
      </c>
      <c r="AS405" s="36">
        <f>IFERROR(AQ405/AI405,"")</f>
        <v>1.0257147220643954</v>
      </c>
    </row>
    <row r="406" spans="1:45" ht="57" x14ac:dyDescent="0.45">
      <c r="A406" s="1" t="s">
        <v>85</v>
      </c>
      <c r="B406" s="1" t="s">
        <v>86</v>
      </c>
      <c r="C406" s="1">
        <v>182</v>
      </c>
      <c r="D406" s="1">
        <v>444.44</v>
      </c>
      <c r="E406" s="1">
        <v>-1.3</v>
      </c>
      <c r="F406" s="1">
        <v>3.5</v>
      </c>
      <c r="G406" s="1">
        <v>3.6</v>
      </c>
      <c r="H406" s="1">
        <v>1.35</v>
      </c>
      <c r="I406" s="1">
        <v>3.29</v>
      </c>
      <c r="J406" s="1">
        <v>3.0992000000000002</v>
      </c>
      <c r="K406" s="1" t="s">
        <v>49</v>
      </c>
      <c r="N406" s="1">
        <v>24.82</v>
      </c>
      <c r="O406" s="1">
        <v>0.1918</v>
      </c>
      <c r="Q406" s="1">
        <v>35.5</v>
      </c>
      <c r="R406" s="1" t="s">
        <v>82</v>
      </c>
      <c r="S406" s="1">
        <v>238.11</v>
      </c>
      <c r="T406" s="1">
        <v>92</v>
      </c>
      <c r="U406" s="1">
        <v>2.08</v>
      </c>
      <c r="V406" s="1">
        <v>-6.26</v>
      </c>
      <c r="W406" s="1">
        <v>0.3</v>
      </c>
      <c r="X406" s="1">
        <f t="shared" si="61"/>
        <v>300</v>
      </c>
      <c r="Y406" s="1">
        <v>6.3</v>
      </c>
      <c r="Z406" s="1">
        <v>0.11</v>
      </c>
      <c r="AA406" s="1">
        <v>10.3654867256637</v>
      </c>
      <c r="AB406" s="1">
        <v>11</v>
      </c>
      <c r="AC406" s="1">
        <v>25</v>
      </c>
      <c r="AH406" s="1">
        <v>0.20512293046713004</v>
      </c>
      <c r="AJ406" s="1">
        <f>IF(ISNUMBER(AH406),1-AH406,"")</f>
        <v>0.79487706953286996</v>
      </c>
      <c r="AK406" s="1">
        <f>IF(AND(ISNUMBER(AJ406),AJ406&gt;0),LN(AJ406),"")</f>
        <v>-0.22956780580258426</v>
      </c>
      <c r="AM406">
        <v>54</v>
      </c>
      <c r="AN406">
        <f>IF(ISNUMBER(AJ406),IF(AJ406&gt;=0.05,1,0),"")</f>
        <v>1</v>
      </c>
      <c r="AO406">
        <f>IF(ISNUMBER(AJ406),IF(AJ406&lt;0.005,1,0),"")</f>
        <v>0</v>
      </c>
      <c r="AQ406" s="34"/>
      <c r="AR406" s="35"/>
      <c r="AS406" s="36"/>
    </row>
    <row r="407" spans="1:45" ht="57" x14ac:dyDescent="0.45">
      <c r="A407" s="1" t="s">
        <v>85</v>
      </c>
      <c r="B407" s="1" t="s">
        <v>86</v>
      </c>
      <c r="C407" s="1">
        <v>182</v>
      </c>
      <c r="D407" s="1">
        <v>444.44</v>
      </c>
      <c r="E407" s="1">
        <v>-1.3</v>
      </c>
      <c r="F407" s="1">
        <v>3.5</v>
      </c>
      <c r="G407" s="1">
        <v>3.6</v>
      </c>
      <c r="H407" s="1">
        <v>1.35</v>
      </c>
      <c r="I407" s="1">
        <v>3.29</v>
      </c>
      <c r="J407" s="1">
        <v>3.0992000000000002</v>
      </c>
      <c r="K407" s="1" t="s">
        <v>49</v>
      </c>
      <c r="N407" s="1">
        <v>24.82</v>
      </c>
      <c r="O407" s="1">
        <v>0.1918</v>
      </c>
      <c r="Q407" s="1">
        <v>35.5</v>
      </c>
      <c r="R407" s="1" t="s">
        <v>82</v>
      </c>
      <c r="S407" s="1">
        <v>238.11</v>
      </c>
      <c r="T407" s="1">
        <v>92</v>
      </c>
      <c r="U407" s="1">
        <v>2.08</v>
      </c>
      <c r="V407" s="1">
        <v>-6.26</v>
      </c>
      <c r="W407" s="1">
        <v>0.3</v>
      </c>
      <c r="X407" s="1">
        <f t="shared" si="61"/>
        <v>300</v>
      </c>
      <c r="Y407" s="1">
        <v>6.3</v>
      </c>
      <c r="Z407" s="1">
        <v>0.11</v>
      </c>
      <c r="AA407" s="1">
        <v>20.135398230088398</v>
      </c>
      <c r="AB407" s="1">
        <v>11</v>
      </c>
      <c r="AC407" s="1">
        <v>25</v>
      </c>
      <c r="AH407" s="1">
        <v>0.30035730546713002</v>
      </c>
      <c r="AJ407" s="1">
        <f>IF(ISNUMBER(AH407),1-AH407,"")</f>
        <v>0.69964269453286998</v>
      </c>
      <c r="AK407" s="1">
        <f>IF(AND(ISNUMBER(AJ407),AJ407&gt;0),LN(AJ407),"")</f>
        <v>-0.35718551063734411</v>
      </c>
      <c r="AM407">
        <v>54</v>
      </c>
      <c r="AN407">
        <f>IF(ISNUMBER(AJ407),IF(AJ407&gt;=0.05,1,0),"")</f>
        <v>1</v>
      </c>
      <c r="AO407">
        <f>IF(ISNUMBER(AJ407),IF(AJ407&lt;0.005,1,0),"")</f>
        <v>0</v>
      </c>
      <c r="AQ407" s="34"/>
      <c r="AR407" s="35"/>
      <c r="AS407" s="36"/>
    </row>
    <row r="408" spans="1:45" ht="57" x14ac:dyDescent="0.45">
      <c r="A408" s="1" t="s">
        <v>85</v>
      </c>
      <c r="B408" s="1" t="s">
        <v>86</v>
      </c>
      <c r="C408" s="1">
        <v>182</v>
      </c>
      <c r="D408" s="1">
        <v>444.44</v>
      </c>
      <c r="E408" s="1">
        <v>-1.3</v>
      </c>
      <c r="F408" s="1">
        <v>3.5</v>
      </c>
      <c r="G408" s="1">
        <v>3.6</v>
      </c>
      <c r="H408" s="1">
        <v>1.35</v>
      </c>
      <c r="I408" s="1">
        <v>3.29</v>
      </c>
      <c r="J408" s="1">
        <v>3.0992000000000002</v>
      </c>
      <c r="K408" s="1" t="s">
        <v>49</v>
      </c>
      <c r="N408" s="1">
        <v>24.82</v>
      </c>
      <c r="O408" s="1">
        <v>0.1918</v>
      </c>
      <c r="Q408" s="1">
        <v>35.5</v>
      </c>
      <c r="R408" s="1" t="s">
        <v>82</v>
      </c>
      <c r="S408" s="1">
        <v>238.11</v>
      </c>
      <c r="T408" s="1">
        <v>92</v>
      </c>
      <c r="U408" s="1">
        <v>2.08</v>
      </c>
      <c r="V408" s="1">
        <v>-6.26</v>
      </c>
      <c r="W408" s="1">
        <v>0.3</v>
      </c>
      <c r="X408" s="1">
        <f t="shared" si="61"/>
        <v>300</v>
      </c>
      <c r="Y408" s="1">
        <v>6.3</v>
      </c>
      <c r="Z408" s="1">
        <v>0.11</v>
      </c>
      <c r="AA408" s="1">
        <v>39.878761061946797</v>
      </c>
      <c r="AB408" s="1">
        <v>11</v>
      </c>
      <c r="AC408" s="1">
        <v>25</v>
      </c>
      <c r="AH408" s="1">
        <v>0.52496668046712902</v>
      </c>
      <c r="AJ408" s="1">
        <f>IF(ISNUMBER(AH408),1-AH408,"")</f>
        <v>0.47503331953287098</v>
      </c>
      <c r="AK408" s="1">
        <f>IF(AND(ISNUMBER(AJ408),AJ408&gt;0),LN(AJ408),"")</f>
        <v>-0.74437033102264694</v>
      </c>
      <c r="AM408">
        <v>54</v>
      </c>
      <c r="AN408">
        <f>IF(ISNUMBER(AJ408),IF(AJ408&gt;=0.05,1,0),"")</f>
        <v>1</v>
      </c>
      <c r="AO408">
        <f>IF(ISNUMBER(AJ408),IF(AJ408&lt;0.005,1,0),"")</f>
        <v>0</v>
      </c>
      <c r="AQ408" s="34"/>
      <c r="AR408" s="35"/>
      <c r="AS408" s="36"/>
    </row>
    <row r="409" spans="1:45" ht="57" x14ac:dyDescent="0.45">
      <c r="A409" s="1" t="s">
        <v>85</v>
      </c>
      <c r="B409" s="1" t="s">
        <v>86</v>
      </c>
      <c r="C409" s="1">
        <v>182</v>
      </c>
      <c r="D409" s="1">
        <v>444.44</v>
      </c>
      <c r="E409" s="1">
        <v>-1.3</v>
      </c>
      <c r="F409" s="1">
        <v>3.5</v>
      </c>
      <c r="G409" s="1">
        <v>3.6</v>
      </c>
      <c r="H409" s="1">
        <v>1.35</v>
      </c>
      <c r="I409" s="1">
        <v>3.29</v>
      </c>
      <c r="J409" s="1">
        <v>3.0992000000000002</v>
      </c>
      <c r="K409" s="1" t="s">
        <v>49</v>
      </c>
      <c r="N409" s="1">
        <v>24.82</v>
      </c>
      <c r="O409" s="1">
        <v>0.1918</v>
      </c>
      <c r="Q409" s="1">
        <v>35.5</v>
      </c>
      <c r="R409" s="1" t="s">
        <v>82</v>
      </c>
      <c r="S409" s="1">
        <v>238.11</v>
      </c>
      <c r="T409" s="1">
        <v>92</v>
      </c>
      <c r="U409" s="1">
        <v>2.08</v>
      </c>
      <c r="V409" s="1">
        <v>-6.26</v>
      </c>
      <c r="W409" s="1">
        <v>0.3</v>
      </c>
      <c r="X409" s="1">
        <f t="shared" si="61"/>
        <v>300</v>
      </c>
      <c r="Y409" s="1">
        <v>6.3</v>
      </c>
      <c r="Z409" s="1">
        <v>0.11</v>
      </c>
      <c r="AA409" s="1">
        <v>60.436283185840701</v>
      </c>
      <c r="AB409" s="1">
        <v>11</v>
      </c>
      <c r="AC409" s="1">
        <v>25</v>
      </c>
      <c r="AH409" s="1">
        <v>0.620201055467129</v>
      </c>
      <c r="AJ409" s="1">
        <f>IF(ISNUMBER(AH409),1-AH409,"")</f>
        <v>0.379798944532871</v>
      </c>
      <c r="AK409" s="1">
        <f>IF(AND(ISNUMBER(AJ409),AJ409&gt;0),LN(AJ409),"")</f>
        <v>-0.96811325961552497</v>
      </c>
      <c r="AM409">
        <v>54</v>
      </c>
      <c r="AN409">
        <f>IF(ISNUMBER(AJ409),IF(AJ409&gt;=0.05,1,0),"")</f>
        <v>1</v>
      </c>
      <c r="AO409">
        <f>IF(ISNUMBER(AJ409),IF(AJ409&lt;0.005,1,0),"")</f>
        <v>0</v>
      </c>
      <c r="AQ409" s="34"/>
      <c r="AR409" s="35"/>
      <c r="AS409" s="36"/>
    </row>
    <row r="410" spans="1:45" ht="57" x14ac:dyDescent="0.45">
      <c r="A410" s="1" t="s">
        <v>85</v>
      </c>
      <c r="B410" s="1" t="s">
        <v>86</v>
      </c>
      <c r="C410" s="1">
        <v>182</v>
      </c>
      <c r="D410" s="1">
        <v>444.44</v>
      </c>
      <c r="E410" s="1">
        <v>-1.3</v>
      </c>
      <c r="F410" s="1">
        <v>3.5</v>
      </c>
      <c r="G410" s="1">
        <v>3.6</v>
      </c>
      <c r="H410" s="1">
        <v>1.35</v>
      </c>
      <c r="I410" s="1">
        <v>3.29</v>
      </c>
      <c r="J410" s="1">
        <v>3.0992000000000002</v>
      </c>
      <c r="K410" s="1" t="s">
        <v>49</v>
      </c>
      <c r="N410" s="1">
        <v>24.82</v>
      </c>
      <c r="O410" s="1">
        <v>0.1918</v>
      </c>
      <c r="Q410" s="1">
        <v>35.5</v>
      </c>
      <c r="R410" s="1" t="s">
        <v>82</v>
      </c>
      <c r="S410" s="1">
        <v>238.11</v>
      </c>
      <c r="T410" s="1">
        <v>92</v>
      </c>
      <c r="U410" s="1">
        <v>2.08</v>
      </c>
      <c r="V410" s="1">
        <v>-6.26</v>
      </c>
      <c r="W410" s="1">
        <v>0.3</v>
      </c>
      <c r="X410" s="1">
        <f t="shared" si="61"/>
        <v>300</v>
      </c>
      <c r="Y410" s="1">
        <v>6.3</v>
      </c>
      <c r="Z410" s="1">
        <v>0.11</v>
      </c>
      <c r="AA410" s="1">
        <v>80.179646017699099</v>
      </c>
      <c r="AB410" s="1">
        <v>11</v>
      </c>
      <c r="AC410" s="1">
        <v>25</v>
      </c>
      <c r="AH410" s="1">
        <v>0.68488855546712901</v>
      </c>
      <c r="AJ410" s="1">
        <f>IF(ISNUMBER(AH410),1-AH410,"")</f>
        <v>0.31511144453287099</v>
      </c>
      <c r="AK410" s="1">
        <f>IF(AND(ISNUMBER(AJ410),AJ410&gt;0),LN(AJ410),"")</f>
        <v>-1.1548289105583514</v>
      </c>
      <c r="AM410">
        <v>54</v>
      </c>
      <c r="AN410">
        <f>IF(ISNUMBER(AJ410),IF(AJ410&gt;=0.05,1,0),"")</f>
        <v>1</v>
      </c>
      <c r="AO410">
        <f>IF(ISNUMBER(AJ410),IF(AJ410&lt;0.005,1,0),"")</f>
        <v>0</v>
      </c>
      <c r="AQ410" s="34"/>
      <c r="AR410" s="35"/>
      <c r="AS410" s="36"/>
    </row>
    <row r="411" spans="1:45" ht="57" x14ac:dyDescent="0.45">
      <c r="A411" s="1" t="s">
        <v>85</v>
      </c>
      <c r="B411" s="1" t="s">
        <v>86</v>
      </c>
      <c r="C411" s="1">
        <v>182</v>
      </c>
      <c r="D411" s="1">
        <v>444.44</v>
      </c>
      <c r="E411" s="1">
        <v>-1.3</v>
      </c>
      <c r="F411" s="1">
        <v>3.5</v>
      </c>
      <c r="G411" s="1">
        <v>3.6</v>
      </c>
      <c r="H411" s="1">
        <v>1.35</v>
      </c>
      <c r="I411" s="1">
        <v>3.29</v>
      </c>
      <c r="J411" s="1">
        <v>3.0992000000000002</v>
      </c>
      <c r="K411" s="1" t="s">
        <v>49</v>
      </c>
      <c r="N411" s="1">
        <v>24.82</v>
      </c>
      <c r="O411" s="1">
        <v>0.1918</v>
      </c>
      <c r="Q411" s="1">
        <v>35.5</v>
      </c>
      <c r="R411" s="1" t="s">
        <v>82</v>
      </c>
      <c r="S411" s="1">
        <v>238.11</v>
      </c>
      <c r="T411" s="1">
        <v>92</v>
      </c>
      <c r="U411" s="1">
        <v>2.08</v>
      </c>
      <c r="V411" s="1">
        <v>-6.26</v>
      </c>
      <c r="W411" s="1">
        <v>0.3</v>
      </c>
      <c r="X411" s="1">
        <f t="shared" si="61"/>
        <v>300</v>
      </c>
      <c r="Y411" s="1">
        <v>6.3</v>
      </c>
      <c r="Z411" s="1">
        <v>0.11</v>
      </c>
      <c r="AA411" s="1">
        <v>99.923008849557505</v>
      </c>
      <c r="AB411" s="1">
        <v>11</v>
      </c>
      <c r="AC411" s="1">
        <v>25</v>
      </c>
      <c r="AH411" s="1">
        <v>0.70465418046712902</v>
      </c>
      <c r="AJ411" s="1">
        <f>IF(ISNUMBER(AH411),1-AH411,"")</f>
        <v>0.29534581953287098</v>
      </c>
      <c r="AK411" s="1">
        <f>IF(AND(ISNUMBER(AJ411),AJ411&gt;0),LN(AJ411),"")</f>
        <v>-1.2196083396108635</v>
      </c>
      <c r="AM411">
        <v>54</v>
      </c>
      <c r="AN411">
        <f>IF(ISNUMBER(AJ411),IF(AJ411&gt;=0.05,1,0),"")</f>
        <v>1</v>
      </c>
      <c r="AO411">
        <f>IF(ISNUMBER(AJ411),IF(AJ411&lt;0.005,1,0),"")</f>
        <v>0</v>
      </c>
      <c r="AQ411" s="34"/>
      <c r="AR411" s="35"/>
      <c r="AS411" s="36"/>
    </row>
    <row r="412" spans="1:45" ht="57" x14ac:dyDescent="0.45">
      <c r="A412" s="1" t="s">
        <v>85</v>
      </c>
      <c r="B412" s="1" t="s">
        <v>86</v>
      </c>
      <c r="C412" s="1">
        <v>182</v>
      </c>
      <c r="D412" s="1">
        <v>444.44</v>
      </c>
      <c r="E412" s="1">
        <v>-1.3</v>
      </c>
      <c r="F412" s="1">
        <v>3.5</v>
      </c>
      <c r="G412" s="1">
        <v>3.6</v>
      </c>
      <c r="H412" s="1">
        <v>1.35</v>
      </c>
      <c r="I412" s="1">
        <v>3.29</v>
      </c>
      <c r="J412" s="1">
        <v>3.0992000000000002</v>
      </c>
      <c r="K412" s="1" t="s">
        <v>49</v>
      </c>
      <c r="N412" s="1">
        <v>24.82</v>
      </c>
      <c r="O412" s="1">
        <v>0.1918</v>
      </c>
      <c r="Q412" s="1">
        <v>35.5</v>
      </c>
      <c r="R412" s="1" t="s">
        <v>82</v>
      </c>
      <c r="S412" s="1">
        <v>238.11</v>
      </c>
      <c r="T412" s="1">
        <v>92</v>
      </c>
      <c r="U412" s="1">
        <v>2.08</v>
      </c>
      <c r="V412" s="1">
        <v>-6.26</v>
      </c>
      <c r="W412" s="1">
        <v>0.3</v>
      </c>
      <c r="X412" s="1">
        <f t="shared" si="61"/>
        <v>300</v>
      </c>
      <c r="Y412" s="1">
        <v>6.3</v>
      </c>
      <c r="Z412" s="1">
        <v>0.11</v>
      </c>
      <c r="AA412" s="1">
        <v>120.07345132743301</v>
      </c>
      <c r="AB412" s="1">
        <v>11</v>
      </c>
      <c r="AC412" s="1">
        <v>25</v>
      </c>
      <c r="AH412" s="1">
        <v>0.71184168046712903</v>
      </c>
      <c r="AJ412" s="1">
        <f>IF(ISNUMBER(AH412),1-AH412,"")</f>
        <v>0.28815831953287097</v>
      </c>
      <c r="AK412" s="1">
        <f>IF(AND(ISNUMBER(AJ412),AJ412&gt;0),LN(AJ412),"")</f>
        <v>-1.2442452292869628</v>
      </c>
      <c r="AM412">
        <v>54</v>
      </c>
      <c r="AN412">
        <f>IF(ISNUMBER(AJ412),IF(AJ412&gt;=0.05,1,0),"")</f>
        <v>1</v>
      </c>
      <c r="AO412">
        <f>IF(ISNUMBER(AJ412),IF(AJ412&lt;0.005,1,0),"")</f>
        <v>0</v>
      </c>
      <c r="AQ412" s="34"/>
      <c r="AR412" s="35"/>
      <c r="AS412" s="36"/>
    </row>
    <row r="413" spans="1:45" ht="57" x14ac:dyDescent="0.45">
      <c r="A413" s="1" t="s">
        <v>85</v>
      </c>
      <c r="B413" s="1" t="s">
        <v>86</v>
      </c>
      <c r="C413" s="1">
        <v>182</v>
      </c>
      <c r="D413" s="1">
        <v>444.44</v>
      </c>
      <c r="E413" s="1">
        <v>-1.3</v>
      </c>
      <c r="F413" s="1">
        <v>3.5</v>
      </c>
      <c r="G413" s="1">
        <v>3.6</v>
      </c>
      <c r="H413" s="1">
        <v>1.35</v>
      </c>
      <c r="I413" s="1">
        <v>3.29</v>
      </c>
      <c r="J413" s="1">
        <v>3.0992000000000002</v>
      </c>
      <c r="K413" s="1" t="s">
        <v>83</v>
      </c>
      <c r="N413" s="1">
        <v>13.98</v>
      </c>
      <c r="O413" s="1">
        <v>2.1000000000000001E-2</v>
      </c>
      <c r="P413" s="1">
        <v>7.45</v>
      </c>
      <c r="Q413" s="1">
        <v>40</v>
      </c>
      <c r="R413" s="1" t="s">
        <v>82</v>
      </c>
      <c r="S413" s="1">
        <v>238.11</v>
      </c>
      <c r="T413" s="1">
        <v>92</v>
      </c>
      <c r="U413" s="1">
        <v>2.08</v>
      </c>
      <c r="V413" s="1">
        <v>-6.26</v>
      </c>
      <c r="W413" s="1">
        <v>0.3</v>
      </c>
      <c r="X413" s="1">
        <f t="shared" si="61"/>
        <v>300</v>
      </c>
      <c r="Y413" s="1">
        <v>6.3</v>
      </c>
      <c r="Z413" s="1">
        <v>0.11</v>
      </c>
      <c r="AA413" s="1">
        <v>0.799115044247798</v>
      </c>
      <c r="AB413" s="1">
        <v>11</v>
      </c>
      <c r="AC413" s="1">
        <v>25</v>
      </c>
      <c r="AH413" s="1">
        <v>-6.9083195328700775E-3</v>
      </c>
      <c r="AI413" s="1">
        <v>1.6844973893650222E-2</v>
      </c>
      <c r="AJ413" s="1">
        <f>IF(ISNUMBER(AH413),1-AH413,"")</f>
        <v>1.0069083195328701</v>
      </c>
      <c r="AK413" s="1">
        <f>IF(AND(ISNUMBER(AJ413),AJ413&gt;0),LN(AJ413),"")</f>
        <v>6.8845664267696361E-3</v>
      </c>
      <c r="AM413">
        <v>55</v>
      </c>
      <c r="AN413">
        <f>IF(ISNUMBER(AJ413),IF(AJ413&gt;=0.05,1,0),"")</f>
        <v>1</v>
      </c>
      <c r="AO413">
        <f>IF(ISNUMBER(AJ413),IF(AJ413&lt;0.005,1,0),"")</f>
        <v>0</v>
      </c>
      <c r="AP413">
        <f>IFERROR(MATCH(0,AN413:AN420,0)-1,8)</f>
        <v>8</v>
      </c>
      <c r="AQ413" s="34">
        <f>IF(AP413&lt;3,"n&lt;3",IFERROR(-SLOPE(AK413:INDEX(AK413:AK420,AP413),AA413:INDEX(AA413:AA420,AP413)),"no fit"))</f>
        <v>1.2145012677603144E-2</v>
      </c>
      <c r="AR413" s="35">
        <f>IF(AP413&lt;3,"",IFERROR(RSQ(AK413:INDEX(AK413:AK420,AP413),AA413:INDEX(AA413:AA420,AP413)),"flat"))</f>
        <v>0.85796550872032407</v>
      </c>
      <c r="AS413" s="36">
        <f>IFERROR(AQ413/AI413,"")</f>
        <v>0.7209873256129683</v>
      </c>
    </row>
    <row r="414" spans="1:45" ht="57" x14ac:dyDescent="0.45">
      <c r="A414" s="1" t="s">
        <v>85</v>
      </c>
      <c r="B414" s="1" t="s">
        <v>86</v>
      </c>
      <c r="C414" s="1">
        <v>182</v>
      </c>
      <c r="D414" s="1">
        <v>444.44</v>
      </c>
      <c r="E414" s="1">
        <v>-1.3</v>
      </c>
      <c r="F414" s="1">
        <v>3.5</v>
      </c>
      <c r="G414" s="1">
        <v>3.6</v>
      </c>
      <c r="H414" s="1">
        <v>1.35</v>
      </c>
      <c r="I414" s="1">
        <v>3.29</v>
      </c>
      <c r="J414" s="1">
        <v>3.0992000000000002</v>
      </c>
      <c r="K414" s="1" t="s">
        <v>83</v>
      </c>
      <c r="N414" s="1">
        <v>13.98</v>
      </c>
      <c r="O414" s="1">
        <v>2.1000000000000001E-2</v>
      </c>
      <c r="P414" s="1">
        <v>7.45</v>
      </c>
      <c r="Q414" s="1">
        <v>40</v>
      </c>
      <c r="R414" s="1" t="s">
        <v>82</v>
      </c>
      <c r="S414" s="1">
        <v>238.11</v>
      </c>
      <c r="T414" s="1">
        <v>92</v>
      </c>
      <c r="U414" s="1">
        <v>2.08</v>
      </c>
      <c r="V414" s="1">
        <v>-6.26</v>
      </c>
      <c r="W414" s="1">
        <v>0.3</v>
      </c>
      <c r="X414" s="1">
        <f t="shared" si="61"/>
        <v>300</v>
      </c>
      <c r="Y414" s="1">
        <v>6.3</v>
      </c>
      <c r="Z414" s="1">
        <v>0.11</v>
      </c>
      <c r="AA414" s="1">
        <v>9.9584070796460296</v>
      </c>
      <c r="AB414" s="1">
        <v>11</v>
      </c>
      <c r="AC414" s="1">
        <v>25</v>
      </c>
      <c r="AH414" s="1">
        <v>0.48902918046712995</v>
      </c>
      <c r="AJ414" s="1">
        <f>IF(ISNUMBER(AH414),1-AH414,"")</f>
        <v>0.51097081953287005</v>
      </c>
      <c r="AK414" s="1">
        <f>IF(AND(ISNUMBER(AJ414),AJ414&gt;0),LN(AJ414),"")</f>
        <v>-0.67144279504131243</v>
      </c>
      <c r="AM414">
        <v>55</v>
      </c>
      <c r="AN414">
        <f>IF(ISNUMBER(AJ414),IF(AJ414&gt;=0.05,1,0),"")</f>
        <v>1</v>
      </c>
      <c r="AO414">
        <f>IF(ISNUMBER(AJ414),IF(AJ414&lt;0.005,1,0),"")</f>
        <v>0</v>
      </c>
      <c r="AQ414" s="34"/>
      <c r="AR414" s="35"/>
      <c r="AS414" s="36"/>
    </row>
    <row r="415" spans="1:45" ht="57" x14ac:dyDescent="0.45">
      <c r="A415" s="1" t="s">
        <v>85</v>
      </c>
      <c r="B415" s="1" t="s">
        <v>86</v>
      </c>
      <c r="C415" s="1">
        <v>182</v>
      </c>
      <c r="D415" s="1">
        <v>444.44</v>
      </c>
      <c r="E415" s="1">
        <v>-1.3</v>
      </c>
      <c r="F415" s="1">
        <v>3.5</v>
      </c>
      <c r="G415" s="1">
        <v>3.6</v>
      </c>
      <c r="H415" s="1">
        <v>1.35</v>
      </c>
      <c r="I415" s="1">
        <v>3.29</v>
      </c>
      <c r="J415" s="1">
        <v>3.0992000000000002</v>
      </c>
      <c r="K415" s="1" t="s">
        <v>83</v>
      </c>
      <c r="N415" s="1">
        <v>13.98</v>
      </c>
      <c r="O415" s="1">
        <v>2.1000000000000001E-2</v>
      </c>
      <c r="P415" s="1">
        <v>7.45</v>
      </c>
      <c r="Q415" s="1">
        <v>40</v>
      </c>
      <c r="R415" s="1" t="s">
        <v>82</v>
      </c>
      <c r="S415" s="1">
        <v>238.11</v>
      </c>
      <c r="T415" s="1">
        <v>92</v>
      </c>
      <c r="U415" s="1">
        <v>2.08</v>
      </c>
      <c r="V415" s="1">
        <v>-6.26</v>
      </c>
      <c r="W415" s="1">
        <v>0.3</v>
      </c>
      <c r="X415" s="1">
        <f t="shared" si="61"/>
        <v>300</v>
      </c>
      <c r="Y415" s="1">
        <v>6.3</v>
      </c>
      <c r="Z415" s="1">
        <v>0.11</v>
      </c>
      <c r="AA415" s="1">
        <v>19.931858407079599</v>
      </c>
      <c r="AB415" s="1">
        <v>11</v>
      </c>
      <c r="AC415" s="1">
        <v>25</v>
      </c>
      <c r="AH415" s="1">
        <v>0.56449793046712893</v>
      </c>
      <c r="AJ415" s="1">
        <f>IF(ISNUMBER(AH415),1-AH415,"")</f>
        <v>0.43550206953287107</v>
      </c>
      <c r="AK415" s="1">
        <f>IF(AND(ISNUMBER(AJ415),AJ415&gt;0),LN(AJ415),"")</f>
        <v>-0.83125573061620694</v>
      </c>
      <c r="AM415">
        <v>55</v>
      </c>
      <c r="AN415">
        <f>IF(ISNUMBER(AJ415),IF(AJ415&gt;=0.05,1,0),"")</f>
        <v>1</v>
      </c>
      <c r="AO415">
        <f>IF(ISNUMBER(AJ415),IF(AJ415&lt;0.005,1,0),"")</f>
        <v>0</v>
      </c>
      <c r="AQ415" s="34"/>
      <c r="AR415" s="35"/>
      <c r="AS415" s="36"/>
    </row>
    <row r="416" spans="1:45" ht="57" x14ac:dyDescent="0.45">
      <c r="A416" s="1" t="s">
        <v>85</v>
      </c>
      <c r="B416" s="1" t="s">
        <v>86</v>
      </c>
      <c r="C416" s="1">
        <v>182</v>
      </c>
      <c r="D416" s="1">
        <v>444.44</v>
      </c>
      <c r="E416" s="1">
        <v>-1.3</v>
      </c>
      <c r="F416" s="1">
        <v>3.5</v>
      </c>
      <c r="G416" s="1">
        <v>3.6</v>
      </c>
      <c r="H416" s="1">
        <v>1.35</v>
      </c>
      <c r="I416" s="1">
        <v>3.29</v>
      </c>
      <c r="J416" s="1">
        <v>3.0992000000000002</v>
      </c>
      <c r="K416" s="1" t="s">
        <v>83</v>
      </c>
      <c r="N416" s="1">
        <v>13.98</v>
      </c>
      <c r="O416" s="1">
        <v>2.1000000000000001E-2</v>
      </c>
      <c r="P416" s="1">
        <v>7.45</v>
      </c>
      <c r="Q416" s="1">
        <v>40</v>
      </c>
      <c r="R416" s="1" t="s">
        <v>82</v>
      </c>
      <c r="S416" s="1">
        <v>238.11</v>
      </c>
      <c r="T416" s="1">
        <v>92</v>
      </c>
      <c r="U416" s="1">
        <v>2.08</v>
      </c>
      <c r="V416" s="1">
        <v>-6.26</v>
      </c>
      <c r="W416" s="1">
        <v>0.3</v>
      </c>
      <c r="X416" s="1">
        <f t="shared" si="61"/>
        <v>300</v>
      </c>
      <c r="Y416" s="1">
        <v>6.3</v>
      </c>
      <c r="Z416" s="1">
        <v>0.11</v>
      </c>
      <c r="AA416" s="1">
        <v>40.0823008849557</v>
      </c>
      <c r="AB416" s="1">
        <v>11</v>
      </c>
      <c r="AC416" s="1">
        <v>25</v>
      </c>
      <c r="AH416" s="1">
        <v>0.63637293046712906</v>
      </c>
      <c r="AJ416" s="1">
        <f>IF(ISNUMBER(AH416),1-AH416,"")</f>
        <v>0.36362706953287094</v>
      </c>
      <c r="AK416" s="1">
        <f>IF(AND(ISNUMBER(AJ416),AJ416&gt;0),LN(AJ416),"")</f>
        <v>-1.0116264707897162</v>
      </c>
      <c r="AM416">
        <v>55</v>
      </c>
      <c r="AN416">
        <f>IF(ISNUMBER(AJ416),IF(AJ416&gt;=0.05,1,0),"")</f>
        <v>1</v>
      </c>
      <c r="AO416">
        <f>IF(ISNUMBER(AJ416),IF(AJ416&lt;0.005,1,0),"")</f>
        <v>0</v>
      </c>
      <c r="AQ416" s="34"/>
      <c r="AR416" s="35"/>
      <c r="AS416" s="36"/>
    </row>
    <row r="417" spans="1:45" ht="57" x14ac:dyDescent="0.45">
      <c r="A417" s="1" t="s">
        <v>85</v>
      </c>
      <c r="B417" s="1" t="s">
        <v>86</v>
      </c>
      <c r="C417" s="1">
        <v>182</v>
      </c>
      <c r="D417" s="1">
        <v>444.44</v>
      </c>
      <c r="E417" s="1">
        <v>-1.3</v>
      </c>
      <c r="F417" s="1">
        <v>3.5</v>
      </c>
      <c r="G417" s="1">
        <v>3.6</v>
      </c>
      <c r="H417" s="1">
        <v>1.35</v>
      </c>
      <c r="I417" s="1">
        <v>3.29</v>
      </c>
      <c r="J417" s="1">
        <v>3.0992000000000002</v>
      </c>
      <c r="K417" s="1" t="s">
        <v>83</v>
      </c>
      <c r="N417" s="1">
        <v>13.98</v>
      </c>
      <c r="O417" s="1">
        <v>2.1000000000000001E-2</v>
      </c>
      <c r="P417" s="1">
        <v>7.45</v>
      </c>
      <c r="Q417" s="1">
        <v>40</v>
      </c>
      <c r="R417" s="1" t="s">
        <v>82</v>
      </c>
      <c r="S417" s="1">
        <v>238.11</v>
      </c>
      <c r="T417" s="1">
        <v>92</v>
      </c>
      <c r="U417" s="1">
        <v>2.08</v>
      </c>
      <c r="V417" s="1">
        <v>-6.26</v>
      </c>
      <c r="W417" s="1">
        <v>0.3</v>
      </c>
      <c r="X417" s="1">
        <f t="shared" si="61"/>
        <v>300</v>
      </c>
      <c r="Y417" s="1">
        <v>6.3</v>
      </c>
      <c r="Z417" s="1">
        <v>0.11</v>
      </c>
      <c r="AA417" s="1">
        <v>60.029203539823001</v>
      </c>
      <c r="AB417" s="1">
        <v>11</v>
      </c>
      <c r="AC417" s="1">
        <v>25</v>
      </c>
      <c r="AH417" s="1">
        <v>0.73879480546712895</v>
      </c>
      <c r="AJ417" s="1">
        <f>IF(ISNUMBER(AH417),1-AH417,"")</f>
        <v>0.26120519453287105</v>
      </c>
      <c r="AK417" s="1">
        <f>IF(AND(ISNUMBER(AJ417),AJ417&gt;0),LN(AJ417),"")</f>
        <v>-1.3424489945920379</v>
      </c>
      <c r="AM417">
        <v>55</v>
      </c>
      <c r="AN417">
        <f>IF(ISNUMBER(AJ417),IF(AJ417&gt;=0.05,1,0),"")</f>
        <v>1</v>
      </c>
      <c r="AO417">
        <f>IF(ISNUMBER(AJ417),IF(AJ417&lt;0.005,1,0),"")</f>
        <v>0</v>
      </c>
      <c r="AQ417" s="34"/>
      <c r="AR417" s="35"/>
      <c r="AS417" s="36"/>
    </row>
    <row r="418" spans="1:45" ht="57" x14ac:dyDescent="0.45">
      <c r="A418" s="1" t="s">
        <v>85</v>
      </c>
      <c r="B418" s="1" t="s">
        <v>86</v>
      </c>
      <c r="C418" s="1">
        <v>182</v>
      </c>
      <c r="D418" s="1">
        <v>444.44</v>
      </c>
      <c r="E418" s="1">
        <v>-1.3</v>
      </c>
      <c r="F418" s="1">
        <v>3.5</v>
      </c>
      <c r="G418" s="1">
        <v>3.6</v>
      </c>
      <c r="H418" s="1">
        <v>1.35</v>
      </c>
      <c r="I418" s="1">
        <v>3.29</v>
      </c>
      <c r="J418" s="1">
        <v>3.0992000000000002</v>
      </c>
      <c r="K418" s="1" t="s">
        <v>83</v>
      </c>
      <c r="N418" s="1">
        <v>13.98</v>
      </c>
      <c r="O418" s="1">
        <v>2.1000000000000001E-2</v>
      </c>
      <c r="P418" s="1">
        <v>7.45</v>
      </c>
      <c r="Q418" s="1">
        <v>40</v>
      </c>
      <c r="R418" s="1" t="s">
        <v>82</v>
      </c>
      <c r="S418" s="1">
        <v>238.11</v>
      </c>
      <c r="T418" s="1">
        <v>92</v>
      </c>
      <c r="U418" s="1">
        <v>2.08</v>
      </c>
      <c r="V418" s="1">
        <v>-6.26</v>
      </c>
      <c r="W418" s="1">
        <v>0.3</v>
      </c>
      <c r="X418" s="1">
        <f t="shared" si="61"/>
        <v>300</v>
      </c>
      <c r="Y418" s="1">
        <v>6.3</v>
      </c>
      <c r="Z418" s="1">
        <v>0.11</v>
      </c>
      <c r="AA418" s="1">
        <v>79.772566371681407</v>
      </c>
      <c r="AB418" s="1">
        <v>11</v>
      </c>
      <c r="AC418" s="1">
        <v>25</v>
      </c>
      <c r="AH418" s="1">
        <v>0.76215418046712902</v>
      </c>
      <c r="AJ418" s="1">
        <f>IF(ISNUMBER(AH418),1-AH418,"")</f>
        <v>0.23784581953287098</v>
      </c>
      <c r="AK418" s="1">
        <f>IF(AND(ISNUMBER(AJ418),AJ418&gt;0),LN(AJ418),"")</f>
        <v>-1.4361326323235966</v>
      </c>
      <c r="AM418">
        <v>55</v>
      </c>
      <c r="AN418">
        <f>IF(ISNUMBER(AJ418),IF(AJ418&gt;=0.05,1,0),"")</f>
        <v>1</v>
      </c>
      <c r="AO418">
        <f>IF(ISNUMBER(AJ418),IF(AJ418&lt;0.005,1,0),"")</f>
        <v>0</v>
      </c>
      <c r="AQ418" s="34"/>
      <c r="AR418" s="35"/>
      <c r="AS418" s="36"/>
    </row>
    <row r="419" spans="1:45" ht="57" x14ac:dyDescent="0.45">
      <c r="A419" s="1" t="s">
        <v>85</v>
      </c>
      <c r="B419" s="1" t="s">
        <v>86</v>
      </c>
      <c r="C419" s="1">
        <v>182</v>
      </c>
      <c r="D419" s="1">
        <v>444.44</v>
      </c>
      <c r="E419" s="1">
        <v>-1.3</v>
      </c>
      <c r="F419" s="1">
        <v>3.5</v>
      </c>
      <c r="G419" s="1">
        <v>3.6</v>
      </c>
      <c r="H419" s="1">
        <v>1.35</v>
      </c>
      <c r="I419" s="1">
        <v>3.29</v>
      </c>
      <c r="J419" s="1">
        <v>3.0992000000000002</v>
      </c>
      <c r="K419" s="1" t="s">
        <v>83</v>
      </c>
      <c r="N419" s="1">
        <v>13.98</v>
      </c>
      <c r="O419" s="1">
        <v>2.1000000000000001E-2</v>
      </c>
      <c r="P419" s="1">
        <v>7.45</v>
      </c>
      <c r="Q419" s="1">
        <v>40</v>
      </c>
      <c r="R419" s="1" t="s">
        <v>82</v>
      </c>
      <c r="S419" s="1">
        <v>238.11</v>
      </c>
      <c r="T419" s="1">
        <v>92</v>
      </c>
      <c r="U419" s="1">
        <v>2.08</v>
      </c>
      <c r="V419" s="1">
        <v>-6.26</v>
      </c>
      <c r="W419" s="1">
        <v>0.3</v>
      </c>
      <c r="X419" s="1">
        <f t="shared" si="61"/>
        <v>300</v>
      </c>
      <c r="Y419" s="1">
        <v>6.3</v>
      </c>
      <c r="Z419" s="1">
        <v>0.11</v>
      </c>
      <c r="AA419" s="1">
        <v>100.126548672566</v>
      </c>
      <c r="AB419" s="1">
        <v>11</v>
      </c>
      <c r="AC419" s="1">
        <v>25</v>
      </c>
      <c r="AH419" s="1">
        <v>0.80707605546712902</v>
      </c>
      <c r="AJ419" s="1">
        <f>IF(ISNUMBER(AH419),1-AH419,"")</f>
        <v>0.19292394453287098</v>
      </c>
      <c r="AK419" s="1">
        <f>IF(AND(ISNUMBER(AJ419),AJ419&gt;0),LN(AJ419),"")</f>
        <v>-1.6454592375210215</v>
      </c>
      <c r="AM419">
        <v>55</v>
      </c>
      <c r="AN419">
        <f>IF(ISNUMBER(AJ419),IF(AJ419&gt;=0.05,1,0),"")</f>
        <v>1</v>
      </c>
      <c r="AO419">
        <f>IF(ISNUMBER(AJ419),IF(AJ419&lt;0.005,1,0),"")</f>
        <v>0</v>
      </c>
      <c r="AQ419" s="34"/>
      <c r="AR419" s="35"/>
      <c r="AS419" s="36"/>
    </row>
    <row r="420" spans="1:45" ht="57" x14ac:dyDescent="0.45">
      <c r="A420" s="1" t="s">
        <v>85</v>
      </c>
      <c r="B420" s="1" t="s">
        <v>86</v>
      </c>
      <c r="C420" s="1">
        <v>182</v>
      </c>
      <c r="D420" s="1">
        <v>444.44</v>
      </c>
      <c r="E420" s="1">
        <v>-1.3</v>
      </c>
      <c r="F420" s="1">
        <v>3.5</v>
      </c>
      <c r="G420" s="1">
        <v>3.6</v>
      </c>
      <c r="H420" s="1">
        <v>1.35</v>
      </c>
      <c r="I420" s="1">
        <v>3.29</v>
      </c>
      <c r="J420" s="1">
        <v>3.0992000000000002</v>
      </c>
      <c r="K420" s="1" t="s">
        <v>83</v>
      </c>
      <c r="N420" s="1">
        <v>13.98</v>
      </c>
      <c r="O420" s="1">
        <v>2.1000000000000001E-2</v>
      </c>
      <c r="P420" s="1">
        <v>7.45</v>
      </c>
      <c r="Q420" s="1">
        <v>40</v>
      </c>
      <c r="R420" s="1" t="s">
        <v>82</v>
      </c>
      <c r="S420" s="1">
        <v>238.11</v>
      </c>
      <c r="T420" s="1">
        <v>92</v>
      </c>
      <c r="U420" s="1">
        <v>2.08</v>
      </c>
      <c r="V420" s="1">
        <v>-6.26</v>
      </c>
      <c r="W420" s="1">
        <v>0.3</v>
      </c>
      <c r="X420" s="1">
        <f t="shared" si="61"/>
        <v>300</v>
      </c>
      <c r="Y420" s="1">
        <v>6.3</v>
      </c>
      <c r="Z420" s="1">
        <v>0.11</v>
      </c>
      <c r="AA420" s="1">
        <v>120.276991150442</v>
      </c>
      <c r="AB420" s="1">
        <v>11</v>
      </c>
      <c r="AC420" s="1">
        <v>25</v>
      </c>
      <c r="AH420" s="1">
        <v>0.81426355546712903</v>
      </c>
      <c r="AJ420" s="1">
        <f>IF(ISNUMBER(AH420),1-AH420,"")</f>
        <v>0.18573644453287097</v>
      </c>
      <c r="AK420" s="1">
        <f>IF(AND(ISNUMBER(AJ420),AJ420&gt;0),LN(AJ420),"")</f>
        <v>-1.6834265749900363</v>
      </c>
      <c r="AM420">
        <v>55</v>
      </c>
      <c r="AN420">
        <f>IF(ISNUMBER(AJ420),IF(AJ420&gt;=0.05,1,0),"")</f>
        <v>1</v>
      </c>
      <c r="AO420">
        <f>IF(ISNUMBER(AJ420),IF(AJ420&lt;0.005,1,0),"")</f>
        <v>0</v>
      </c>
      <c r="AQ420" s="34"/>
      <c r="AR420" s="35"/>
      <c r="AS420" s="36"/>
    </row>
    <row r="421" spans="1:45" ht="57" x14ac:dyDescent="0.45">
      <c r="A421" s="1" t="s">
        <v>87</v>
      </c>
      <c r="B421" s="1" t="s">
        <v>86</v>
      </c>
      <c r="C421" s="1">
        <v>182</v>
      </c>
      <c r="D421" s="1">
        <v>444.44</v>
      </c>
      <c r="E421" s="1">
        <v>-1.3</v>
      </c>
      <c r="F421" s="1">
        <v>3.5</v>
      </c>
      <c r="G421" s="1">
        <v>3.6</v>
      </c>
      <c r="H421" s="1">
        <v>1.35</v>
      </c>
      <c r="I421" s="1">
        <v>3.29</v>
      </c>
      <c r="J421" s="1">
        <v>3.0992000000000002</v>
      </c>
      <c r="K421" s="1" t="s">
        <v>97</v>
      </c>
      <c r="N421" s="1">
        <v>13.98</v>
      </c>
      <c r="O421" s="1">
        <v>2.1000000000000001E-2</v>
      </c>
      <c r="P421" s="1">
        <v>7.45</v>
      </c>
      <c r="Q421" s="1">
        <v>40</v>
      </c>
      <c r="R421" s="1" t="s">
        <v>82</v>
      </c>
      <c r="S421" s="1">
        <v>238.11</v>
      </c>
      <c r="T421" s="1">
        <v>92</v>
      </c>
      <c r="U421" s="1">
        <v>2.08</v>
      </c>
      <c r="V421" s="1">
        <v>-6.26</v>
      </c>
      <c r="W421" s="1">
        <v>0.3</v>
      </c>
      <c r="X421" s="1">
        <f t="shared" si="61"/>
        <v>300</v>
      </c>
      <c r="Y421" s="1">
        <v>6.3</v>
      </c>
      <c r="Z421" s="1">
        <v>0.11</v>
      </c>
      <c r="AA421" s="1">
        <v>-4.8877006528150896E-4</v>
      </c>
      <c r="AB421" s="1">
        <v>11</v>
      </c>
      <c r="AC421" s="1">
        <v>25</v>
      </c>
      <c r="AH421" s="1">
        <v>9.3770717925539815E-3</v>
      </c>
      <c r="AI421" s="1">
        <v>1.4004457772937382E-2</v>
      </c>
      <c r="AJ421" s="1">
        <f>IF(ISNUMBER(AH421),1-AH421,"")</f>
        <v>0.99062292820744602</v>
      </c>
      <c r="AK421" s="1">
        <f>IF(AND(ISNUMBER(AJ421),AJ421&gt;0),LN(AJ421),"")</f>
        <v>-9.4213133181021737E-3</v>
      </c>
      <c r="AM421">
        <v>56</v>
      </c>
      <c r="AN421">
        <f>IF(ISNUMBER(AJ421),IF(AJ421&gt;=0.05,1,0),"")</f>
        <v>1</v>
      </c>
      <c r="AO421">
        <f>IF(ISNUMBER(AJ421),IF(AJ421&lt;0.005,1,0),"")</f>
        <v>0</v>
      </c>
      <c r="AP421">
        <f>IFERROR(MATCH(0,AN421:AN428,0)-1,8)</f>
        <v>8</v>
      </c>
      <c r="AQ421" s="34">
        <f>IF(AP421&lt;3,"n&lt;3",IFERROR(-SLOPE(AK421:INDEX(AK421:AK428,AP421),AA421:INDEX(AA421:AA428,AP421)),"no fit"))</f>
        <v>1.2174035780570016E-2</v>
      </c>
      <c r="AR421" s="35">
        <f>IF(AP421&lt;3,"",IFERROR(RSQ(AK421:INDEX(AK421:AK428,AP421),AA421:INDEX(AA421:AA428,AP421)),"flat"))</f>
        <v>0.86680687121547806</v>
      </c>
      <c r="AS421" s="36">
        <f>IFERROR(AQ421/AI421,"")</f>
        <v>0.869297189363195</v>
      </c>
    </row>
    <row r="422" spans="1:45" ht="57" x14ac:dyDescent="0.45">
      <c r="A422" s="1" t="s">
        <v>87</v>
      </c>
      <c r="B422" s="1" t="s">
        <v>86</v>
      </c>
      <c r="C422" s="1">
        <v>182</v>
      </c>
      <c r="D422" s="1">
        <v>444.44</v>
      </c>
      <c r="E422" s="1">
        <v>-1.3</v>
      </c>
      <c r="F422" s="1">
        <v>3.5</v>
      </c>
      <c r="G422" s="1">
        <v>3.6</v>
      </c>
      <c r="H422" s="1">
        <v>1.35</v>
      </c>
      <c r="I422" s="1">
        <v>3.29</v>
      </c>
      <c r="J422" s="1">
        <v>3.0992000000000002</v>
      </c>
      <c r="K422" s="1" t="s">
        <v>97</v>
      </c>
      <c r="N422" s="1">
        <v>13.98</v>
      </c>
      <c r="O422" s="1">
        <v>2.1000000000000001E-2</v>
      </c>
      <c r="P422" s="1">
        <v>7.45</v>
      </c>
      <c r="Q422" s="1">
        <v>40</v>
      </c>
      <c r="R422" s="1" t="s">
        <v>82</v>
      </c>
      <c r="S422" s="1">
        <v>238.11</v>
      </c>
      <c r="T422" s="1">
        <v>92</v>
      </c>
      <c r="U422" s="1">
        <v>2.08</v>
      </c>
      <c r="V422" s="1">
        <v>-6.26</v>
      </c>
      <c r="W422" s="1">
        <v>0.3</v>
      </c>
      <c r="X422" s="1">
        <f t="shared" si="61"/>
        <v>300</v>
      </c>
      <c r="Y422" s="1">
        <v>6.3</v>
      </c>
      <c r="Z422" s="1">
        <v>0.11</v>
      </c>
      <c r="AA422" s="1">
        <v>10.207203537627001</v>
      </c>
      <c r="AB422" s="1">
        <v>11</v>
      </c>
      <c r="AC422" s="1">
        <v>25</v>
      </c>
      <c r="AH422" s="1">
        <v>0.49387707179255502</v>
      </c>
      <c r="AJ422" s="1">
        <f>IF(ISNUMBER(AH422),1-AH422,"")</f>
        <v>0.50612292820744498</v>
      </c>
      <c r="AK422" s="1">
        <f>IF(AND(ISNUMBER(AJ422),AJ422&gt;0),LN(AJ422),"")</f>
        <v>-0.68097569807865432</v>
      </c>
      <c r="AM422">
        <v>56</v>
      </c>
      <c r="AN422">
        <f>IF(ISNUMBER(AJ422),IF(AJ422&gt;=0.05,1,0),"")</f>
        <v>1</v>
      </c>
      <c r="AO422">
        <f>IF(ISNUMBER(AJ422),IF(AJ422&lt;0.005,1,0),"")</f>
        <v>0</v>
      </c>
      <c r="AQ422" s="34"/>
      <c r="AR422" s="35"/>
      <c r="AS422" s="36"/>
    </row>
    <row r="423" spans="1:45" ht="57" x14ac:dyDescent="0.45">
      <c r="A423" s="1" t="s">
        <v>87</v>
      </c>
      <c r="B423" s="1" t="s">
        <v>86</v>
      </c>
      <c r="C423" s="1">
        <v>182</v>
      </c>
      <c r="D423" s="1">
        <v>444.44</v>
      </c>
      <c r="E423" s="1">
        <v>-1.3</v>
      </c>
      <c r="F423" s="1">
        <v>3.5</v>
      </c>
      <c r="G423" s="1">
        <v>3.6</v>
      </c>
      <c r="H423" s="1">
        <v>1.35</v>
      </c>
      <c r="I423" s="1">
        <v>3.29</v>
      </c>
      <c r="J423" s="1">
        <v>3.0992000000000002</v>
      </c>
      <c r="K423" s="1" t="s">
        <v>83</v>
      </c>
      <c r="N423" s="1">
        <v>13.98</v>
      </c>
      <c r="O423" s="1">
        <v>2.1000000000000001E-2</v>
      </c>
      <c r="P423" s="1">
        <v>7.45</v>
      </c>
      <c r="Q423" s="1">
        <v>40</v>
      </c>
      <c r="R423" s="1" t="s">
        <v>82</v>
      </c>
      <c r="S423" s="1">
        <v>238.11</v>
      </c>
      <c r="T423" s="1">
        <v>92</v>
      </c>
      <c r="U423" s="1">
        <v>2.08</v>
      </c>
      <c r="V423" s="1">
        <v>-6.26</v>
      </c>
      <c r="W423" s="1">
        <v>0.3</v>
      </c>
      <c r="X423" s="1">
        <f t="shared" si="61"/>
        <v>300</v>
      </c>
      <c r="Y423" s="1">
        <v>6.3</v>
      </c>
      <c r="Z423" s="1">
        <v>0.11</v>
      </c>
      <c r="AA423" s="1">
        <v>20.522588153011601</v>
      </c>
      <c r="AB423" s="1">
        <v>11</v>
      </c>
      <c r="AC423" s="1">
        <v>25</v>
      </c>
      <c r="AH423" s="1">
        <v>0.56904373845922107</v>
      </c>
      <c r="AJ423" s="1">
        <f>IF(ISNUMBER(AH423),1-AH423,"")</f>
        <v>0.43095626154077893</v>
      </c>
      <c r="AK423" s="1">
        <f>IF(AND(ISNUMBER(AJ423),AJ423&gt;0),LN(AJ423),"")</f>
        <v>-0.84174867537186959</v>
      </c>
      <c r="AM423">
        <v>56</v>
      </c>
      <c r="AN423">
        <f>IF(ISNUMBER(AJ423),IF(AJ423&gt;=0.05,1,0),"")</f>
        <v>1</v>
      </c>
      <c r="AO423">
        <f>IF(ISNUMBER(AJ423),IF(AJ423&lt;0.005,1,0),"")</f>
        <v>0</v>
      </c>
      <c r="AQ423" s="34"/>
      <c r="AR423" s="35"/>
      <c r="AS423" s="36"/>
    </row>
    <row r="424" spans="1:45" ht="57" x14ac:dyDescent="0.45">
      <c r="A424" s="1" t="s">
        <v>87</v>
      </c>
      <c r="B424" s="1" t="s">
        <v>86</v>
      </c>
      <c r="C424" s="1">
        <v>182</v>
      </c>
      <c r="D424" s="1">
        <v>444.44</v>
      </c>
      <c r="E424" s="1">
        <v>-1.3</v>
      </c>
      <c r="F424" s="1">
        <v>3.5</v>
      </c>
      <c r="G424" s="1">
        <v>3.6</v>
      </c>
      <c r="H424" s="1">
        <v>1.35</v>
      </c>
      <c r="I424" s="1">
        <v>3.29</v>
      </c>
      <c r="J424" s="1">
        <v>3.0992000000000002</v>
      </c>
      <c r="K424" s="1" t="s">
        <v>83</v>
      </c>
      <c r="N424" s="1">
        <v>13.98</v>
      </c>
      <c r="O424" s="1">
        <v>2.1000000000000001E-2</v>
      </c>
      <c r="P424" s="1">
        <v>7.45</v>
      </c>
      <c r="Q424" s="1">
        <v>40</v>
      </c>
      <c r="R424" s="1" t="s">
        <v>82</v>
      </c>
      <c r="S424" s="1">
        <v>238.11</v>
      </c>
      <c r="T424" s="1">
        <v>92</v>
      </c>
      <c r="U424" s="1">
        <v>2.08</v>
      </c>
      <c r="V424" s="1">
        <v>-6.26</v>
      </c>
      <c r="W424" s="1">
        <v>0.3</v>
      </c>
      <c r="X424" s="1">
        <f t="shared" si="61"/>
        <v>300</v>
      </c>
      <c r="Y424" s="1">
        <v>6.3</v>
      </c>
      <c r="Z424" s="1">
        <v>0.11</v>
      </c>
      <c r="AA424" s="1">
        <v>40.337972768396199</v>
      </c>
      <c r="AB424" s="1">
        <v>11</v>
      </c>
      <c r="AC424" s="1">
        <v>25</v>
      </c>
      <c r="AH424" s="1">
        <v>0.63344373845922197</v>
      </c>
      <c r="AJ424" s="1">
        <f>IF(ISNUMBER(AH424),1-AH424,"")</f>
        <v>0.36655626154077803</v>
      </c>
      <c r="AK424" s="1">
        <f>IF(AND(ISNUMBER(AJ424),AJ424&gt;0),LN(AJ424),"")</f>
        <v>-1.0036032590937509</v>
      </c>
      <c r="AM424">
        <v>56</v>
      </c>
      <c r="AN424">
        <f>IF(ISNUMBER(AJ424),IF(AJ424&gt;=0.05,1,0),"")</f>
        <v>1</v>
      </c>
      <c r="AO424">
        <f>IF(ISNUMBER(AJ424),IF(AJ424&lt;0.005,1,0),"")</f>
        <v>0</v>
      </c>
      <c r="AQ424" s="34"/>
      <c r="AR424" s="35"/>
      <c r="AS424" s="36"/>
    </row>
    <row r="425" spans="1:45" ht="57" x14ac:dyDescent="0.45">
      <c r="A425" s="1" t="s">
        <v>87</v>
      </c>
      <c r="B425" s="1" t="s">
        <v>86</v>
      </c>
      <c r="C425" s="1">
        <v>182</v>
      </c>
      <c r="D425" s="1">
        <v>444.44</v>
      </c>
      <c r="E425" s="1">
        <v>-1.3</v>
      </c>
      <c r="F425" s="1">
        <v>3.5</v>
      </c>
      <c r="G425" s="1">
        <v>3.6</v>
      </c>
      <c r="H425" s="1">
        <v>1.35</v>
      </c>
      <c r="I425" s="1">
        <v>3.29</v>
      </c>
      <c r="J425" s="1">
        <v>3.0992000000000002</v>
      </c>
      <c r="K425" s="1" t="s">
        <v>83</v>
      </c>
      <c r="N425" s="1">
        <v>13.98</v>
      </c>
      <c r="O425" s="1">
        <v>2.1000000000000001E-2</v>
      </c>
      <c r="P425" s="1">
        <v>7.45</v>
      </c>
      <c r="Q425" s="1">
        <v>40</v>
      </c>
      <c r="R425" s="1" t="s">
        <v>82</v>
      </c>
      <c r="S425" s="1">
        <v>238.11</v>
      </c>
      <c r="T425" s="1">
        <v>92</v>
      </c>
      <c r="U425" s="1">
        <v>2.08</v>
      </c>
      <c r="V425" s="1">
        <v>-6.26</v>
      </c>
      <c r="W425" s="1">
        <v>0.3</v>
      </c>
      <c r="X425" s="1">
        <f t="shared" si="61"/>
        <v>300</v>
      </c>
      <c r="Y425" s="1">
        <v>6.3</v>
      </c>
      <c r="Z425" s="1">
        <v>0.11</v>
      </c>
      <c r="AA425" s="1">
        <v>60.630280460703901</v>
      </c>
      <c r="AB425" s="1">
        <v>11</v>
      </c>
      <c r="AC425" s="1">
        <v>25</v>
      </c>
      <c r="AH425" s="1">
        <v>0.74687707179255503</v>
      </c>
      <c r="AJ425" s="1">
        <f>IF(ISNUMBER(AH425),1-AH425,"")</f>
        <v>0.25312292820744497</v>
      </c>
      <c r="AK425" s="1">
        <f>IF(AND(ISNUMBER(AJ425),AJ425&gt;0),LN(AJ425),"")</f>
        <v>-1.3738800260143063</v>
      </c>
      <c r="AM425">
        <v>56</v>
      </c>
      <c r="AN425">
        <f>IF(ISNUMBER(AJ425),IF(AJ425&gt;=0.05,1,0),"")</f>
        <v>1</v>
      </c>
      <c r="AO425">
        <f>IF(ISNUMBER(AJ425),IF(AJ425&lt;0.005,1,0),"")</f>
        <v>0</v>
      </c>
      <c r="AQ425" s="34"/>
      <c r="AR425" s="35"/>
      <c r="AS425" s="36"/>
    </row>
    <row r="426" spans="1:45" ht="57" x14ac:dyDescent="0.45">
      <c r="A426" s="1" t="s">
        <v>87</v>
      </c>
      <c r="B426" s="1" t="s">
        <v>86</v>
      </c>
      <c r="C426" s="1">
        <v>182</v>
      </c>
      <c r="D426" s="1">
        <v>444.44</v>
      </c>
      <c r="E426" s="1">
        <v>-1.3</v>
      </c>
      <c r="F426" s="1">
        <v>3.5</v>
      </c>
      <c r="G426" s="1">
        <v>3.6</v>
      </c>
      <c r="H426" s="1">
        <v>1.35</v>
      </c>
      <c r="I426" s="1">
        <v>3.29</v>
      </c>
      <c r="J426" s="1">
        <v>3.0992000000000002</v>
      </c>
      <c r="K426" s="1" t="s">
        <v>83</v>
      </c>
      <c r="N426" s="1">
        <v>13.98</v>
      </c>
      <c r="O426" s="1">
        <v>2.1000000000000001E-2</v>
      </c>
      <c r="P426" s="1">
        <v>7.45</v>
      </c>
      <c r="Q426" s="1">
        <v>40</v>
      </c>
      <c r="R426" s="1" t="s">
        <v>82</v>
      </c>
      <c r="S426" s="1">
        <v>238.11</v>
      </c>
      <c r="T426" s="1">
        <v>92</v>
      </c>
      <c r="U426" s="1">
        <v>2.08</v>
      </c>
      <c r="V426" s="1">
        <v>-6.26</v>
      </c>
      <c r="W426" s="1">
        <v>0.3</v>
      </c>
      <c r="X426" s="1">
        <f t="shared" si="61"/>
        <v>300</v>
      </c>
      <c r="Y426" s="1">
        <v>6.3</v>
      </c>
      <c r="Z426" s="1">
        <v>0.11</v>
      </c>
      <c r="AA426" s="1">
        <v>80.445665076088503</v>
      </c>
      <c r="AB426" s="1">
        <v>11</v>
      </c>
      <c r="AC426" s="1">
        <v>25</v>
      </c>
      <c r="AH426" s="1">
        <v>0.76834373845922199</v>
      </c>
      <c r="AJ426" s="1">
        <f>IF(ISNUMBER(AH426),1-AH426,"")</f>
        <v>0.23165626154077801</v>
      </c>
      <c r="AK426" s="1">
        <f>IF(AND(ISNUMBER(AJ426),AJ426&gt;0),LN(AJ426),"")</f>
        <v>-1.4625006373065972</v>
      </c>
      <c r="AM426">
        <v>56</v>
      </c>
      <c r="AN426">
        <f>IF(ISNUMBER(AJ426),IF(AJ426&gt;=0.05,1,0),"")</f>
        <v>1</v>
      </c>
      <c r="AO426">
        <f>IF(ISNUMBER(AJ426),IF(AJ426&lt;0.005,1,0),"")</f>
        <v>0</v>
      </c>
      <c r="AQ426" s="34"/>
      <c r="AR426" s="35"/>
      <c r="AS426" s="36"/>
    </row>
    <row r="427" spans="1:45" ht="57" x14ac:dyDescent="0.45">
      <c r="A427" s="1" t="s">
        <v>87</v>
      </c>
      <c r="B427" s="1" t="s">
        <v>86</v>
      </c>
      <c r="C427" s="1">
        <v>182</v>
      </c>
      <c r="D427" s="1">
        <v>444.44</v>
      </c>
      <c r="E427" s="1">
        <v>-1.3</v>
      </c>
      <c r="F427" s="1">
        <v>3.5</v>
      </c>
      <c r="G427" s="1">
        <v>3.6</v>
      </c>
      <c r="H427" s="1">
        <v>1.35</v>
      </c>
      <c r="I427" s="1">
        <v>3.29</v>
      </c>
      <c r="J427" s="1">
        <v>3.0992000000000002</v>
      </c>
      <c r="K427" s="1" t="s">
        <v>83</v>
      </c>
      <c r="N427" s="1">
        <v>13.98</v>
      </c>
      <c r="O427" s="1">
        <v>2.1000000000000001E-2</v>
      </c>
      <c r="P427" s="1">
        <v>7.45</v>
      </c>
      <c r="Q427" s="1">
        <v>40</v>
      </c>
      <c r="R427" s="1" t="s">
        <v>82</v>
      </c>
      <c r="S427" s="1">
        <v>238.11</v>
      </c>
      <c r="T427" s="1">
        <v>92</v>
      </c>
      <c r="U427" s="1">
        <v>2.08</v>
      </c>
      <c r="V427" s="1">
        <v>-6.26</v>
      </c>
      <c r="W427" s="1">
        <v>0.3</v>
      </c>
      <c r="X427" s="1">
        <f t="shared" si="61"/>
        <v>300</v>
      </c>
      <c r="Y427" s="1">
        <v>6.3</v>
      </c>
      <c r="Z427" s="1">
        <v>0.11</v>
      </c>
      <c r="AA427" s="1">
        <v>101.022588153011</v>
      </c>
      <c r="AB427" s="1">
        <v>11</v>
      </c>
      <c r="AC427" s="1">
        <v>25</v>
      </c>
      <c r="AH427" s="1">
        <v>0.80977707179255498</v>
      </c>
      <c r="AJ427" s="1">
        <f>IF(ISNUMBER(AH427),1-AH427,"")</f>
        <v>0.19022292820744502</v>
      </c>
      <c r="AK427" s="1">
        <f>IF(AND(ISNUMBER(AJ427),AJ427&gt;0),LN(AJ427),"")</f>
        <v>-1.659558588252642</v>
      </c>
      <c r="AM427">
        <v>56</v>
      </c>
      <c r="AN427">
        <f>IF(ISNUMBER(AJ427),IF(AJ427&gt;=0.05,1,0),"")</f>
        <v>1</v>
      </c>
      <c r="AO427">
        <f>IF(ISNUMBER(AJ427),IF(AJ427&lt;0.005,1,0),"")</f>
        <v>0</v>
      </c>
      <c r="AQ427" s="34"/>
      <c r="AR427" s="35"/>
      <c r="AS427" s="36"/>
    </row>
    <row r="428" spans="1:45" ht="57" x14ac:dyDescent="0.45">
      <c r="A428" s="1" t="s">
        <v>87</v>
      </c>
      <c r="B428" s="1" t="s">
        <v>86</v>
      </c>
      <c r="C428" s="1">
        <v>182</v>
      </c>
      <c r="D428" s="1">
        <v>444.44</v>
      </c>
      <c r="E428" s="1">
        <v>-1.3</v>
      </c>
      <c r="F428" s="1">
        <v>3.5</v>
      </c>
      <c r="G428" s="1">
        <v>3.6</v>
      </c>
      <c r="H428" s="1">
        <v>1.35</v>
      </c>
      <c r="I428" s="1">
        <v>3.29</v>
      </c>
      <c r="J428" s="1">
        <v>3.0992000000000002</v>
      </c>
      <c r="K428" s="1" t="s">
        <v>83</v>
      </c>
      <c r="N428" s="1">
        <v>13.98</v>
      </c>
      <c r="O428" s="1">
        <v>2.1000000000000001E-2</v>
      </c>
      <c r="P428" s="1">
        <v>7.45</v>
      </c>
      <c r="Q428" s="1">
        <v>40</v>
      </c>
      <c r="R428" s="1" t="s">
        <v>82</v>
      </c>
      <c r="S428" s="1">
        <v>238.11</v>
      </c>
      <c r="T428" s="1">
        <v>92</v>
      </c>
      <c r="U428" s="1">
        <v>2.08</v>
      </c>
      <c r="V428" s="1">
        <v>-6.26</v>
      </c>
      <c r="W428" s="1">
        <v>0.3</v>
      </c>
      <c r="X428" s="1">
        <f t="shared" si="61"/>
        <v>300</v>
      </c>
      <c r="Y428" s="1">
        <v>6.3</v>
      </c>
      <c r="Z428" s="1">
        <v>0.11</v>
      </c>
      <c r="AA428" s="1">
        <v>121.368741999165</v>
      </c>
      <c r="AB428" s="1">
        <v>11</v>
      </c>
      <c r="AC428" s="1">
        <v>25</v>
      </c>
      <c r="AH428" s="1">
        <v>0.81897707179255497</v>
      </c>
      <c r="AJ428" s="1">
        <f>IF(ISNUMBER(AH428),1-AH428,"")</f>
        <v>0.18102292820744503</v>
      </c>
      <c r="AK428" s="1">
        <f>IF(AND(ISNUMBER(AJ428),AJ428&gt;0),LN(AJ428),"")</f>
        <v>-1.7091315805596801</v>
      </c>
      <c r="AM428">
        <v>56</v>
      </c>
      <c r="AN428">
        <f>IF(ISNUMBER(AJ428),IF(AJ428&gt;=0.05,1,0),"")</f>
        <v>1</v>
      </c>
      <c r="AO428">
        <f>IF(ISNUMBER(AJ428),IF(AJ428&lt;0.005,1,0),"")</f>
        <v>0</v>
      </c>
      <c r="AQ428" s="34"/>
      <c r="AR428" s="35"/>
      <c r="AS428" s="36"/>
    </row>
    <row r="429" spans="1:45" ht="57" x14ac:dyDescent="0.45">
      <c r="A429" s="1" t="s">
        <v>87</v>
      </c>
      <c r="B429" s="1" t="s">
        <v>86</v>
      </c>
      <c r="C429" s="1">
        <v>182</v>
      </c>
      <c r="D429" s="1">
        <v>444.44</v>
      </c>
      <c r="E429" s="1">
        <v>-1.3</v>
      </c>
      <c r="F429" s="1">
        <v>3.5</v>
      </c>
      <c r="G429" s="1">
        <v>3.6</v>
      </c>
      <c r="H429" s="1">
        <v>1.35</v>
      </c>
      <c r="I429" s="1">
        <v>3.29</v>
      </c>
      <c r="J429" s="1">
        <v>3.0992000000000002</v>
      </c>
      <c r="K429" s="1" t="s">
        <v>83</v>
      </c>
      <c r="N429" s="1">
        <v>13.98</v>
      </c>
      <c r="O429" s="1">
        <v>2.1000000000000001E-2</v>
      </c>
      <c r="P429" s="1">
        <v>7.45</v>
      </c>
      <c r="Q429" s="1">
        <v>40</v>
      </c>
      <c r="R429" s="1" t="s">
        <v>82</v>
      </c>
      <c r="S429" s="1">
        <v>238.11</v>
      </c>
      <c r="T429" s="1">
        <v>92</v>
      </c>
      <c r="U429" s="1">
        <v>2.08</v>
      </c>
      <c r="V429" s="1">
        <v>-6.26</v>
      </c>
      <c r="W429" s="1">
        <v>0.3</v>
      </c>
      <c r="X429" s="1">
        <f t="shared" si="61"/>
        <v>300</v>
      </c>
      <c r="Y429" s="1">
        <v>6.3</v>
      </c>
      <c r="Z429" s="1">
        <v>0.11</v>
      </c>
      <c r="AA429" s="1">
        <v>0.231258000834518</v>
      </c>
      <c r="AB429" s="1">
        <v>9.44</v>
      </c>
      <c r="AC429" s="1">
        <v>25</v>
      </c>
      <c r="AH429" s="1">
        <v>9.3437384592209849E-3</v>
      </c>
      <c r="AI429" s="1">
        <v>1.2353632400755293E-2</v>
      </c>
      <c r="AJ429" s="1">
        <f>IF(ISNUMBER(AH429),1-AH429,"")</f>
        <v>0.99065626154077902</v>
      </c>
      <c r="AK429" s="1">
        <f>IF(AND(ISNUMBER(AJ429),AJ429&gt;0),LN(AJ429),"")</f>
        <v>-9.3876650230929493E-3</v>
      </c>
      <c r="AM429">
        <v>57</v>
      </c>
      <c r="AN429">
        <f>IF(ISNUMBER(AJ429),IF(AJ429&gt;=0.05,1,0),"")</f>
        <v>1</v>
      </c>
      <c r="AO429">
        <f>IF(ISNUMBER(AJ429),IF(AJ429&lt;0.005,1,0),"")</f>
        <v>0</v>
      </c>
      <c r="AP429">
        <f>IFERROR(MATCH(0,AN429:AN436,0)-1,8)</f>
        <v>8</v>
      </c>
      <c r="AQ429" s="34">
        <f>IF(AP429&lt;3,"n&lt;3",IFERROR(-SLOPE(AK429:INDEX(AK429:AK436,AP429),AA429:INDEX(AA429:AA436,AP429)),"no fit"))</f>
        <v>8.7854827227859759E-3</v>
      </c>
      <c r="AR429" s="35">
        <f>IF(AP429&lt;3,"",IFERROR(RSQ(AK429:INDEX(AK429:AK436,AP429),AA429:INDEX(AA429:AA436,AP429)),"flat"))</f>
        <v>0.62524977574800655</v>
      </c>
      <c r="AS429" s="36">
        <f>IFERROR(AQ429/AI429,"")</f>
        <v>0.71116595004468786</v>
      </c>
    </row>
    <row r="430" spans="1:45" ht="57" x14ac:dyDescent="0.45">
      <c r="A430" s="1" t="s">
        <v>87</v>
      </c>
      <c r="B430" s="1" t="s">
        <v>86</v>
      </c>
      <c r="C430" s="1">
        <v>182</v>
      </c>
      <c r="D430" s="1">
        <v>444.44</v>
      </c>
      <c r="E430" s="1">
        <v>-1.3</v>
      </c>
      <c r="F430" s="1">
        <v>3.5</v>
      </c>
      <c r="G430" s="1">
        <v>3.6</v>
      </c>
      <c r="H430" s="1">
        <v>1.35</v>
      </c>
      <c r="I430" s="1">
        <v>3.29</v>
      </c>
      <c r="J430" s="1">
        <v>3.0992000000000002</v>
      </c>
      <c r="K430" s="1" t="s">
        <v>83</v>
      </c>
      <c r="N430" s="1">
        <v>13.98</v>
      </c>
      <c r="O430" s="1">
        <v>2.1000000000000001E-2</v>
      </c>
      <c r="P430" s="1">
        <v>7.45</v>
      </c>
      <c r="Q430" s="1">
        <v>40</v>
      </c>
      <c r="R430" s="1" t="s">
        <v>82</v>
      </c>
      <c r="S430" s="1">
        <v>238.11</v>
      </c>
      <c r="T430" s="1">
        <v>92</v>
      </c>
      <c r="U430" s="1">
        <v>2.08</v>
      </c>
      <c r="V430" s="1">
        <v>-6.26</v>
      </c>
      <c r="W430" s="1">
        <v>0.3</v>
      </c>
      <c r="X430" s="1">
        <f t="shared" si="61"/>
        <v>300</v>
      </c>
      <c r="Y430" s="1">
        <v>6.3</v>
      </c>
      <c r="Z430" s="1">
        <v>0.11</v>
      </c>
      <c r="AA430" s="1">
        <v>9.8533573837808692</v>
      </c>
      <c r="AB430" s="1">
        <v>9.44</v>
      </c>
      <c r="AC430" s="1">
        <v>25</v>
      </c>
      <c r="AH430" s="1">
        <v>0.582810405125888</v>
      </c>
      <c r="AJ430" s="1">
        <f>IF(ISNUMBER(AH430),1-AH430,"")</f>
        <v>0.417189594874112</v>
      </c>
      <c r="AK430" s="1">
        <f>IF(AND(ISNUMBER(AJ430),AJ430&gt;0),LN(AJ430),"")</f>
        <v>-0.87421449654498284</v>
      </c>
      <c r="AM430">
        <v>57</v>
      </c>
      <c r="AN430">
        <f>IF(ISNUMBER(AJ430),IF(AJ430&gt;=0.05,1,0),"")</f>
        <v>1</v>
      </c>
      <c r="AO430">
        <f>IF(ISNUMBER(AJ430),IF(AJ430&lt;0.005,1,0),"")</f>
        <v>0</v>
      </c>
      <c r="AQ430" s="34"/>
      <c r="AR430" s="35"/>
      <c r="AS430" s="36"/>
    </row>
    <row r="431" spans="1:45" ht="57" x14ac:dyDescent="0.45">
      <c r="A431" s="1" t="s">
        <v>87</v>
      </c>
      <c r="B431" s="1" t="s">
        <v>86</v>
      </c>
      <c r="C431" s="1">
        <v>182</v>
      </c>
      <c r="D431" s="1">
        <v>444.44</v>
      </c>
      <c r="E431" s="1">
        <v>-1.3</v>
      </c>
      <c r="F431" s="1">
        <v>3.5</v>
      </c>
      <c r="G431" s="1">
        <v>3.6</v>
      </c>
      <c r="H431" s="1">
        <v>1.35</v>
      </c>
      <c r="I431" s="1">
        <v>3.29</v>
      </c>
      <c r="J431" s="1">
        <v>3.0992000000000002</v>
      </c>
      <c r="K431" s="1" t="s">
        <v>83</v>
      </c>
      <c r="N431" s="1">
        <v>13.98</v>
      </c>
      <c r="O431" s="1">
        <v>2.1000000000000001E-2</v>
      </c>
      <c r="P431" s="1">
        <v>7.45</v>
      </c>
      <c r="Q431" s="1">
        <v>40</v>
      </c>
      <c r="R431" s="1" t="s">
        <v>82</v>
      </c>
      <c r="S431" s="1">
        <v>238.11</v>
      </c>
      <c r="T431" s="1">
        <v>92</v>
      </c>
      <c r="U431" s="1">
        <v>2.08</v>
      </c>
      <c r="V431" s="1">
        <v>-6.26</v>
      </c>
      <c r="W431" s="1">
        <v>0.3</v>
      </c>
      <c r="X431" s="1">
        <f t="shared" si="61"/>
        <v>300</v>
      </c>
      <c r="Y431" s="1">
        <v>6.3</v>
      </c>
      <c r="Z431" s="1">
        <v>0.11</v>
      </c>
      <c r="AA431" s="1">
        <v>20.1148958453193</v>
      </c>
      <c r="AB431" s="1">
        <v>9.44</v>
      </c>
      <c r="AC431" s="1">
        <v>25</v>
      </c>
      <c r="AH431" s="1">
        <v>0.65487707179255494</v>
      </c>
      <c r="AJ431" s="1">
        <f>IF(ISNUMBER(AH431),1-AH431,"")</f>
        <v>0.34512292820744506</v>
      </c>
      <c r="AK431" s="1">
        <f>IF(AND(ISNUMBER(AJ431),AJ431&gt;0),LN(AJ431),"")</f>
        <v>-1.0638546117706407</v>
      </c>
      <c r="AM431">
        <v>57</v>
      </c>
      <c r="AN431">
        <f>IF(ISNUMBER(AJ431),IF(AJ431&gt;=0.05,1,0),"")</f>
        <v>1</v>
      </c>
      <c r="AO431">
        <f>IF(ISNUMBER(AJ431),IF(AJ431&lt;0.005,1,0),"")</f>
        <v>0</v>
      </c>
      <c r="AQ431" s="34"/>
      <c r="AR431" s="35"/>
      <c r="AS431" s="36"/>
    </row>
    <row r="432" spans="1:45" ht="57" x14ac:dyDescent="0.45">
      <c r="A432" s="1" t="s">
        <v>87</v>
      </c>
      <c r="B432" s="1" t="s">
        <v>86</v>
      </c>
      <c r="C432" s="1">
        <v>182</v>
      </c>
      <c r="D432" s="1">
        <v>444.44</v>
      </c>
      <c r="E432" s="1">
        <v>-1.3</v>
      </c>
      <c r="F432" s="1">
        <v>3.5</v>
      </c>
      <c r="G432" s="1">
        <v>3.6</v>
      </c>
      <c r="H432" s="1">
        <v>1.35</v>
      </c>
      <c r="I432" s="1">
        <v>3.29</v>
      </c>
      <c r="J432" s="1">
        <v>3.0992000000000002</v>
      </c>
      <c r="K432" s="1" t="s">
        <v>83</v>
      </c>
      <c r="N432" s="1">
        <v>13.98</v>
      </c>
      <c r="O432" s="1">
        <v>2.1000000000000001E-2</v>
      </c>
      <c r="P432" s="1">
        <v>7.45</v>
      </c>
      <c r="Q432" s="1">
        <v>40</v>
      </c>
      <c r="R432" s="1" t="s">
        <v>82</v>
      </c>
      <c r="S432" s="1">
        <v>238.11</v>
      </c>
      <c r="T432" s="1">
        <v>92</v>
      </c>
      <c r="U432" s="1">
        <v>2.08</v>
      </c>
      <c r="V432" s="1">
        <v>-6.26</v>
      </c>
      <c r="W432" s="1">
        <v>0.3</v>
      </c>
      <c r="X432" s="1">
        <f t="shared" si="61"/>
        <v>300</v>
      </c>
      <c r="Y432" s="1">
        <v>6.3</v>
      </c>
      <c r="Z432" s="1">
        <v>0.11</v>
      </c>
      <c r="AA432" s="1">
        <v>40.284126614549997</v>
      </c>
      <c r="AB432" s="1">
        <v>9.44</v>
      </c>
      <c r="AC432" s="1">
        <v>25</v>
      </c>
      <c r="AH432" s="1">
        <v>0.71621040512588907</v>
      </c>
      <c r="AJ432" s="1">
        <f>IF(ISNUMBER(AH432),1-AH432,"")</f>
        <v>0.28378959487411093</v>
      </c>
      <c r="AK432" s="1">
        <f>IF(AND(ISNUMBER(AJ432),AJ432&gt;0),LN(AJ432),"")</f>
        <v>-1.2595221785149628</v>
      </c>
      <c r="AM432">
        <v>57</v>
      </c>
      <c r="AN432">
        <f>IF(ISNUMBER(AJ432),IF(AJ432&gt;=0.05,1,0),"")</f>
        <v>1</v>
      </c>
      <c r="AO432">
        <f>IF(ISNUMBER(AJ432),IF(AJ432&lt;0.005,1,0),"")</f>
        <v>0</v>
      </c>
      <c r="AQ432" s="34"/>
      <c r="AR432" s="35"/>
      <c r="AS432" s="36"/>
    </row>
    <row r="433" spans="1:45" ht="57" x14ac:dyDescent="0.45">
      <c r="A433" s="1" t="s">
        <v>87</v>
      </c>
      <c r="B433" s="1" t="s">
        <v>86</v>
      </c>
      <c r="C433" s="1">
        <v>182</v>
      </c>
      <c r="D433" s="1">
        <v>444.44</v>
      </c>
      <c r="E433" s="1">
        <v>-1.3</v>
      </c>
      <c r="F433" s="1">
        <v>3.5</v>
      </c>
      <c r="G433" s="1">
        <v>3.6</v>
      </c>
      <c r="H433" s="1">
        <v>1.35</v>
      </c>
      <c r="I433" s="1">
        <v>3.29</v>
      </c>
      <c r="J433" s="1">
        <v>3.0992000000000002</v>
      </c>
      <c r="K433" s="1" t="s">
        <v>83</v>
      </c>
      <c r="N433" s="1">
        <v>13.98</v>
      </c>
      <c r="O433" s="1">
        <v>2.1000000000000001E-2</v>
      </c>
      <c r="P433" s="1">
        <v>7.45</v>
      </c>
      <c r="Q433" s="1">
        <v>40</v>
      </c>
      <c r="R433" s="1" t="s">
        <v>82</v>
      </c>
      <c r="S433" s="1">
        <v>238.11</v>
      </c>
      <c r="T433" s="1">
        <v>92</v>
      </c>
      <c r="U433" s="1">
        <v>2.08</v>
      </c>
      <c r="V433" s="1">
        <v>-6.26</v>
      </c>
      <c r="W433" s="1">
        <v>0.3</v>
      </c>
      <c r="X433" s="1">
        <f t="shared" si="61"/>
        <v>300</v>
      </c>
      <c r="Y433" s="1">
        <v>6.3</v>
      </c>
      <c r="Z433" s="1">
        <v>0.11</v>
      </c>
      <c r="AA433" s="1">
        <v>60.276434306857702</v>
      </c>
      <c r="AB433" s="1">
        <v>9.44</v>
      </c>
      <c r="AC433" s="1">
        <v>25</v>
      </c>
      <c r="AH433" s="1">
        <v>0.73614373845922199</v>
      </c>
      <c r="AJ433" s="1">
        <f>IF(ISNUMBER(AH433),1-AH433,"")</f>
        <v>0.26385626154077801</v>
      </c>
      <c r="AK433" s="1">
        <f>IF(AND(ISNUMBER(AJ433),AJ433&gt;0),LN(AJ433),"")</f>
        <v>-1.3323507879707805</v>
      </c>
      <c r="AM433">
        <v>57</v>
      </c>
      <c r="AN433">
        <f>IF(ISNUMBER(AJ433),IF(AJ433&gt;=0.05,1,0),"")</f>
        <v>1</v>
      </c>
      <c r="AO433">
        <f>IF(ISNUMBER(AJ433),IF(AJ433&lt;0.005,1,0),"")</f>
        <v>0</v>
      </c>
      <c r="AQ433" s="34"/>
      <c r="AR433" s="35"/>
      <c r="AS433" s="36"/>
    </row>
    <row r="434" spans="1:45" ht="57" x14ac:dyDescent="0.45">
      <c r="A434" s="1" t="s">
        <v>87</v>
      </c>
      <c r="B434" s="1" t="s">
        <v>86</v>
      </c>
      <c r="C434" s="1">
        <v>182</v>
      </c>
      <c r="D434" s="1">
        <v>444.44</v>
      </c>
      <c r="E434" s="1">
        <v>-1.3</v>
      </c>
      <c r="F434" s="1">
        <v>3.5</v>
      </c>
      <c r="G434" s="1">
        <v>3.6</v>
      </c>
      <c r="H434" s="1">
        <v>1.35</v>
      </c>
      <c r="I434" s="1">
        <v>3.29</v>
      </c>
      <c r="J434" s="1">
        <v>3.0992000000000002</v>
      </c>
      <c r="K434" s="1" t="s">
        <v>83</v>
      </c>
      <c r="N434" s="1">
        <v>13.98</v>
      </c>
      <c r="O434" s="1">
        <v>2.1000000000000001E-2</v>
      </c>
      <c r="P434" s="1">
        <v>7.45</v>
      </c>
      <c r="Q434" s="1">
        <v>40</v>
      </c>
      <c r="R434" s="1" t="s">
        <v>82</v>
      </c>
      <c r="S434" s="1">
        <v>238.11</v>
      </c>
      <c r="T434" s="1">
        <v>92</v>
      </c>
      <c r="U434" s="1">
        <v>2.08</v>
      </c>
      <c r="V434" s="1">
        <v>-6.26</v>
      </c>
      <c r="W434" s="1">
        <v>0.3</v>
      </c>
      <c r="X434" s="1">
        <f t="shared" si="61"/>
        <v>300</v>
      </c>
      <c r="Y434" s="1">
        <v>6.3</v>
      </c>
      <c r="Z434" s="1">
        <v>0.11</v>
      </c>
      <c r="AA434" s="1">
        <v>80.622588153011606</v>
      </c>
      <c r="AB434" s="1">
        <v>9.44</v>
      </c>
      <c r="AC434" s="1">
        <v>25</v>
      </c>
      <c r="AH434" s="1">
        <v>0.75147707179255496</v>
      </c>
      <c r="AJ434" s="1">
        <f>IF(ISNUMBER(AH434),1-AH434,"")</f>
        <v>0.24852292820744504</v>
      </c>
      <c r="AK434" s="1">
        <f>IF(AND(ISNUMBER(AJ434),AJ434&gt;0),LN(AJ434),"")</f>
        <v>-1.3922201712733884</v>
      </c>
      <c r="AM434">
        <v>57</v>
      </c>
      <c r="AN434">
        <f>IF(ISNUMBER(AJ434),IF(AJ434&gt;=0.05,1,0),"")</f>
        <v>1</v>
      </c>
      <c r="AO434">
        <f>IF(ISNUMBER(AJ434),IF(AJ434&lt;0.005,1,0),"")</f>
        <v>0</v>
      </c>
      <c r="AQ434" s="34"/>
      <c r="AR434" s="35"/>
      <c r="AS434" s="36"/>
    </row>
    <row r="435" spans="1:45" ht="57" x14ac:dyDescent="0.45">
      <c r="A435" s="1" t="s">
        <v>87</v>
      </c>
      <c r="B435" s="1" t="s">
        <v>86</v>
      </c>
      <c r="C435" s="1">
        <v>182</v>
      </c>
      <c r="D435" s="1">
        <v>444.44</v>
      </c>
      <c r="E435" s="1">
        <v>-1.3</v>
      </c>
      <c r="F435" s="1">
        <v>3.5</v>
      </c>
      <c r="G435" s="1">
        <v>3.6</v>
      </c>
      <c r="H435" s="1">
        <v>1.35</v>
      </c>
      <c r="I435" s="1">
        <v>3.29</v>
      </c>
      <c r="J435" s="1">
        <v>3.0992000000000002</v>
      </c>
      <c r="K435" s="1" t="s">
        <v>83</v>
      </c>
      <c r="N435" s="1">
        <v>13.98</v>
      </c>
      <c r="O435" s="1">
        <v>2.1000000000000001E-2</v>
      </c>
      <c r="P435" s="1">
        <v>7.45</v>
      </c>
      <c r="Q435" s="1">
        <v>40</v>
      </c>
      <c r="R435" s="1" t="s">
        <v>82</v>
      </c>
      <c r="S435" s="1">
        <v>238.11</v>
      </c>
      <c r="T435" s="1">
        <v>92</v>
      </c>
      <c r="U435" s="1">
        <v>2.08</v>
      </c>
      <c r="V435" s="1">
        <v>-6.26</v>
      </c>
      <c r="W435" s="1">
        <v>0.3</v>
      </c>
      <c r="X435" s="1">
        <f t="shared" si="61"/>
        <v>300</v>
      </c>
      <c r="Y435" s="1">
        <v>6.3</v>
      </c>
      <c r="Z435" s="1">
        <v>0.11</v>
      </c>
      <c r="AA435" s="1">
        <v>100.791818922242</v>
      </c>
      <c r="AB435" s="1">
        <v>9.44</v>
      </c>
      <c r="AC435" s="1">
        <v>25</v>
      </c>
      <c r="AH435" s="1">
        <v>0.762210405125889</v>
      </c>
      <c r="AJ435" s="1">
        <f>IF(ISNUMBER(AH435),1-AH435,"")</f>
        <v>0.237789594874111</v>
      </c>
      <c r="AK435" s="1">
        <f>IF(AND(ISNUMBER(AJ435),AJ435&gt;0),LN(AJ435),"")</f>
        <v>-1.4363690514686762</v>
      </c>
      <c r="AM435">
        <v>57</v>
      </c>
      <c r="AN435">
        <f>IF(ISNUMBER(AJ435),IF(AJ435&gt;=0.05,1,0),"")</f>
        <v>1</v>
      </c>
      <c r="AO435">
        <f>IF(ISNUMBER(AJ435),IF(AJ435&lt;0.005,1,0),"")</f>
        <v>0</v>
      </c>
      <c r="AQ435" s="34"/>
      <c r="AR435" s="35"/>
      <c r="AS435" s="36"/>
    </row>
    <row r="436" spans="1:45" ht="57" x14ac:dyDescent="0.45">
      <c r="A436" s="1" t="s">
        <v>87</v>
      </c>
      <c r="B436" s="1" t="s">
        <v>86</v>
      </c>
      <c r="C436" s="1">
        <v>182</v>
      </c>
      <c r="D436" s="1">
        <v>444.44</v>
      </c>
      <c r="E436" s="1">
        <v>-1.3</v>
      </c>
      <c r="F436" s="1">
        <v>3.5</v>
      </c>
      <c r="G436" s="1">
        <v>3.6</v>
      </c>
      <c r="H436" s="1">
        <v>1.35</v>
      </c>
      <c r="I436" s="1">
        <v>3.29</v>
      </c>
      <c r="J436" s="1">
        <v>3.0992000000000002</v>
      </c>
      <c r="K436" s="1" t="s">
        <v>83</v>
      </c>
      <c r="N436" s="1">
        <v>13.98</v>
      </c>
      <c r="O436" s="1">
        <v>2.1000000000000001E-2</v>
      </c>
      <c r="P436" s="1">
        <v>7.45</v>
      </c>
      <c r="Q436" s="1">
        <v>40</v>
      </c>
      <c r="R436" s="1" t="s">
        <v>82</v>
      </c>
      <c r="S436" s="1">
        <v>238.11</v>
      </c>
      <c r="T436" s="1">
        <v>92</v>
      </c>
      <c r="U436" s="1">
        <v>2.08</v>
      </c>
      <c r="V436" s="1">
        <v>-6.26</v>
      </c>
      <c r="W436" s="1">
        <v>0.3</v>
      </c>
      <c r="X436" s="1">
        <f t="shared" si="61"/>
        <v>300</v>
      </c>
      <c r="Y436" s="1">
        <v>6.3</v>
      </c>
      <c r="Z436" s="1">
        <v>0.11</v>
      </c>
      <c r="AA436" s="1">
        <v>121.137972768396</v>
      </c>
      <c r="AB436" s="1">
        <v>9.44</v>
      </c>
      <c r="AC436" s="1">
        <v>25</v>
      </c>
      <c r="AH436" s="1">
        <v>0.77754373845922198</v>
      </c>
      <c r="AJ436" s="1">
        <f>IF(ISNUMBER(AH436),1-AH436,"")</f>
        <v>0.22245626154077802</v>
      </c>
      <c r="AK436" s="1">
        <f>IF(AND(ISNUMBER(AJ436),AJ436&gt;0),LN(AJ436),"")</f>
        <v>-1.5030247740445188</v>
      </c>
      <c r="AM436">
        <v>57</v>
      </c>
      <c r="AN436">
        <f>IF(ISNUMBER(AJ436),IF(AJ436&gt;=0.05,1,0),"")</f>
        <v>1</v>
      </c>
      <c r="AO436">
        <f>IF(ISNUMBER(AJ436),IF(AJ436&lt;0.005,1,0),"")</f>
        <v>0</v>
      </c>
      <c r="AQ436" s="34"/>
      <c r="AR436" s="35"/>
      <c r="AS436" s="36"/>
    </row>
    <row r="437" spans="1:45" ht="57" x14ac:dyDescent="0.45">
      <c r="A437" s="1" t="s">
        <v>87</v>
      </c>
      <c r="B437" s="1" t="s">
        <v>86</v>
      </c>
      <c r="C437" s="1">
        <v>182</v>
      </c>
      <c r="D437" s="1">
        <v>444.44</v>
      </c>
      <c r="E437" s="1">
        <v>-1.3</v>
      </c>
      <c r="F437" s="1">
        <v>3.5</v>
      </c>
      <c r="G437" s="1">
        <v>3.6</v>
      </c>
      <c r="H437" s="1">
        <v>1.35</v>
      </c>
      <c r="I437" s="1">
        <v>3.29</v>
      </c>
      <c r="J437" s="1">
        <v>3.0992000000000002</v>
      </c>
      <c r="K437" s="1" t="s">
        <v>83</v>
      </c>
      <c r="N437" s="1">
        <v>13.98</v>
      </c>
      <c r="O437" s="1">
        <v>2.1000000000000001E-2</v>
      </c>
      <c r="P437" s="1">
        <v>7.45</v>
      </c>
      <c r="Q437" s="1">
        <v>40</v>
      </c>
      <c r="R437" s="1" t="s">
        <v>82</v>
      </c>
      <c r="S437" s="1">
        <v>238.11</v>
      </c>
      <c r="T437" s="1">
        <v>92</v>
      </c>
      <c r="U437" s="1">
        <v>2.08</v>
      </c>
      <c r="V437" s="1">
        <v>-6.26</v>
      </c>
      <c r="W437" s="1">
        <v>0.3</v>
      </c>
      <c r="X437" s="1">
        <f t="shared" si="61"/>
        <v>300</v>
      </c>
      <c r="Y437" s="1">
        <v>6.3</v>
      </c>
      <c r="Z437" s="1">
        <v>0.11</v>
      </c>
      <c r="AA437" s="1">
        <v>0.21145331950865401</v>
      </c>
      <c r="AB437" s="1">
        <v>7</v>
      </c>
      <c r="AC437" s="1">
        <v>25</v>
      </c>
      <c r="AH437" s="1">
        <v>1.3757932536094031E-2</v>
      </c>
      <c r="AI437" s="1">
        <v>1.1602809168102801E-2</v>
      </c>
      <c r="AJ437" s="1">
        <f>IF(ISNUMBER(AH437),1-AH437,"")</f>
        <v>0.98624206746390597</v>
      </c>
      <c r="AK437" s="1">
        <f>IF(AND(ISNUMBER(AJ437),AJ437&gt;0),LN(AJ437),"")</f>
        <v>-1.3853449983518612E-2</v>
      </c>
      <c r="AM437">
        <v>58</v>
      </c>
      <c r="AN437">
        <f>IF(ISNUMBER(AJ437),IF(AJ437&gt;=0.05,1,0),"")</f>
        <v>1</v>
      </c>
      <c r="AO437">
        <f>IF(ISNUMBER(AJ437),IF(AJ437&lt;0.005,1,0),"")</f>
        <v>0</v>
      </c>
      <c r="AP437">
        <f>IFERROR(MATCH(0,AN437:AN444,0)-1,8)</f>
        <v>8</v>
      </c>
      <c r="AQ437" s="34">
        <f>IF(AP437&lt;3,"n&lt;3",IFERROR(-SLOPE(AK437:INDEX(AK437:AK444,AP437),AA437:INDEX(AA437:AA444,AP437)),"no fit"))</f>
        <v>9.3790253345368887E-3</v>
      </c>
      <c r="AR437" s="35">
        <f>IF(AP437&lt;3,"",IFERROR(RSQ(AK437:INDEX(AK437:AK444,AP437),AA437:INDEX(AA437:AA444,AP437)),"flat"))</f>
        <v>0.73308155438545675</v>
      </c>
      <c r="AS437" s="36">
        <f>IFERROR(AQ437/AI437,"")</f>
        <v>0.80834091112354922</v>
      </c>
    </row>
    <row r="438" spans="1:45" ht="57" x14ac:dyDescent="0.45">
      <c r="A438" s="1" t="s">
        <v>87</v>
      </c>
      <c r="B438" s="1" t="s">
        <v>86</v>
      </c>
      <c r="C438" s="1">
        <v>182</v>
      </c>
      <c r="D438" s="1">
        <v>444.44</v>
      </c>
      <c r="E438" s="1">
        <v>-1.3</v>
      </c>
      <c r="F438" s="1">
        <v>3.5</v>
      </c>
      <c r="G438" s="1">
        <v>3.6</v>
      </c>
      <c r="H438" s="1">
        <v>1.35</v>
      </c>
      <c r="I438" s="1">
        <v>3.29</v>
      </c>
      <c r="J438" s="1">
        <v>3.0992000000000002</v>
      </c>
      <c r="K438" s="1" t="s">
        <v>83</v>
      </c>
      <c r="N438" s="1">
        <v>13.98</v>
      </c>
      <c r="O438" s="1">
        <v>2.1000000000000001E-2</v>
      </c>
      <c r="P438" s="1">
        <v>7.45</v>
      </c>
      <c r="Q438" s="1">
        <v>40</v>
      </c>
      <c r="R438" s="1" t="s">
        <v>82</v>
      </c>
      <c r="S438" s="1">
        <v>238.11</v>
      </c>
      <c r="T438" s="1">
        <v>92</v>
      </c>
      <c r="U438" s="1">
        <v>2.08</v>
      </c>
      <c r="V438" s="1">
        <v>-6.26</v>
      </c>
      <c r="W438" s="1">
        <v>0.3</v>
      </c>
      <c r="X438" s="1">
        <f t="shared" si="61"/>
        <v>300</v>
      </c>
      <c r="Y438" s="1">
        <v>6.3</v>
      </c>
      <c r="Z438" s="1">
        <v>0.11</v>
      </c>
      <c r="AA438" s="1">
        <v>10.0510330781243</v>
      </c>
      <c r="AB438" s="1">
        <v>7</v>
      </c>
      <c r="AC438" s="1">
        <v>25</v>
      </c>
      <c r="AH438" s="1">
        <v>0.46933710077806201</v>
      </c>
      <c r="AJ438" s="1">
        <f>IF(ISNUMBER(AH438),1-AH438,"")</f>
        <v>0.53066289922193799</v>
      </c>
      <c r="AK438" s="1">
        <f>IF(AND(ISNUMBER(AJ438),AJ438&gt;0),LN(AJ438),"")</f>
        <v>-0.63362830072726672</v>
      </c>
      <c r="AM438">
        <v>58</v>
      </c>
      <c r="AN438">
        <f>IF(ISNUMBER(AJ438),IF(AJ438&gt;=0.05,1,0),"")</f>
        <v>1</v>
      </c>
      <c r="AO438">
        <f>IF(ISNUMBER(AJ438),IF(AJ438&lt;0.005,1,0),"")</f>
        <v>0</v>
      </c>
      <c r="AQ438" s="34"/>
      <c r="AR438" s="35"/>
      <c r="AS438" s="36"/>
    </row>
    <row r="439" spans="1:45" ht="57" x14ac:dyDescent="0.45">
      <c r="A439" s="1" t="s">
        <v>87</v>
      </c>
      <c r="B439" s="1" t="s">
        <v>86</v>
      </c>
      <c r="C439" s="1">
        <v>182</v>
      </c>
      <c r="D439" s="1">
        <v>444.44</v>
      </c>
      <c r="E439" s="1">
        <v>-1.3</v>
      </c>
      <c r="F439" s="1">
        <v>3.5</v>
      </c>
      <c r="G439" s="1">
        <v>3.6</v>
      </c>
      <c r="H439" s="1">
        <v>1.35</v>
      </c>
      <c r="I439" s="1">
        <v>3.29</v>
      </c>
      <c r="J439" s="1">
        <v>3.0992000000000002</v>
      </c>
      <c r="K439" s="1" t="s">
        <v>83</v>
      </c>
      <c r="N439" s="1">
        <v>13.98</v>
      </c>
      <c r="O439" s="1">
        <v>2.1000000000000001E-2</v>
      </c>
      <c r="P439" s="1">
        <v>7.45</v>
      </c>
      <c r="Q439" s="1">
        <v>40</v>
      </c>
      <c r="R439" s="1" t="s">
        <v>82</v>
      </c>
      <c r="S439" s="1">
        <v>238.11</v>
      </c>
      <c r="T439" s="1">
        <v>92</v>
      </c>
      <c r="U439" s="1">
        <v>2.08</v>
      </c>
      <c r="V439" s="1">
        <v>-6.26</v>
      </c>
      <c r="W439" s="1">
        <v>0.3</v>
      </c>
      <c r="X439" s="1">
        <f t="shared" si="61"/>
        <v>300</v>
      </c>
      <c r="Y439" s="1">
        <v>6.3</v>
      </c>
      <c r="Z439" s="1">
        <v>0.11</v>
      </c>
      <c r="AA439" s="1">
        <v>20.135648462739699</v>
      </c>
      <c r="AB439" s="1">
        <v>7</v>
      </c>
      <c r="AC439" s="1">
        <v>25</v>
      </c>
      <c r="AH439" s="1">
        <v>0.58893710077806194</v>
      </c>
      <c r="AJ439" s="1">
        <f>IF(ISNUMBER(AH439),1-AH439,"")</f>
        <v>0.41106289922193806</v>
      </c>
      <c r="AK439" s="1">
        <f>IF(AND(ISNUMBER(AJ439),AJ439&gt;0),LN(AJ439),"")</f>
        <v>-0.88900903672581177</v>
      </c>
      <c r="AM439">
        <v>58</v>
      </c>
      <c r="AN439">
        <f>IF(ISNUMBER(AJ439),IF(AJ439&gt;=0.05,1,0),"")</f>
        <v>1</v>
      </c>
      <c r="AO439">
        <f>IF(ISNUMBER(AJ439),IF(AJ439&lt;0.005,1,0),"")</f>
        <v>0</v>
      </c>
      <c r="AQ439" s="34"/>
      <c r="AR439" s="35"/>
      <c r="AS439" s="36"/>
    </row>
    <row r="440" spans="1:45" ht="57" x14ac:dyDescent="0.45">
      <c r="A440" s="1" t="s">
        <v>87</v>
      </c>
      <c r="B440" s="1" t="s">
        <v>86</v>
      </c>
      <c r="C440" s="1">
        <v>182</v>
      </c>
      <c r="D440" s="1">
        <v>444.44</v>
      </c>
      <c r="E440" s="1">
        <v>-1.3</v>
      </c>
      <c r="F440" s="1">
        <v>3.5</v>
      </c>
      <c r="G440" s="1">
        <v>3.6</v>
      </c>
      <c r="H440" s="1">
        <v>1.35</v>
      </c>
      <c r="I440" s="1">
        <v>3.29</v>
      </c>
      <c r="J440" s="1">
        <v>3.0992000000000002</v>
      </c>
      <c r="K440" s="1" t="s">
        <v>83</v>
      </c>
      <c r="N440" s="1">
        <v>13.98</v>
      </c>
      <c r="O440" s="1">
        <v>2.1000000000000001E-2</v>
      </c>
      <c r="P440" s="1">
        <v>7.45</v>
      </c>
      <c r="Q440" s="1">
        <v>40</v>
      </c>
      <c r="R440" s="1" t="s">
        <v>82</v>
      </c>
      <c r="S440" s="1">
        <v>238.11</v>
      </c>
      <c r="T440" s="1">
        <v>92</v>
      </c>
      <c r="U440" s="1">
        <v>2.08</v>
      </c>
      <c r="V440" s="1">
        <v>-6.26</v>
      </c>
      <c r="W440" s="1">
        <v>0.3</v>
      </c>
      <c r="X440" s="1">
        <f t="shared" si="61"/>
        <v>300</v>
      </c>
      <c r="Y440" s="1">
        <v>6.3</v>
      </c>
      <c r="Z440" s="1">
        <v>0.11</v>
      </c>
      <c r="AA440" s="1">
        <v>40.658725385816602</v>
      </c>
      <c r="AB440" s="1">
        <v>7</v>
      </c>
      <c r="AC440" s="1">
        <v>25</v>
      </c>
      <c r="AH440" s="1">
        <v>0.67940376744472797</v>
      </c>
      <c r="AJ440" s="1">
        <f>IF(ISNUMBER(AH440),1-AH440,"")</f>
        <v>0.32059623255527203</v>
      </c>
      <c r="AK440" s="1">
        <f>IF(AND(ISNUMBER(AJ440),AJ440&gt;0),LN(AJ440),"")</f>
        <v>-1.137572790106947</v>
      </c>
      <c r="AM440">
        <v>58</v>
      </c>
      <c r="AN440">
        <f>IF(ISNUMBER(AJ440),IF(AJ440&gt;=0.05,1,0),"")</f>
        <v>1</v>
      </c>
      <c r="AO440">
        <f>IF(ISNUMBER(AJ440),IF(AJ440&lt;0.005,1,0),"")</f>
        <v>0</v>
      </c>
      <c r="AQ440" s="34"/>
      <c r="AR440" s="35"/>
      <c r="AS440" s="36"/>
    </row>
    <row r="441" spans="1:45" ht="57" x14ac:dyDescent="0.45">
      <c r="A441" s="1" t="s">
        <v>87</v>
      </c>
      <c r="B441" s="1" t="s">
        <v>86</v>
      </c>
      <c r="C441" s="1">
        <v>182</v>
      </c>
      <c r="D441" s="1">
        <v>444.44</v>
      </c>
      <c r="E441" s="1">
        <v>-1.3</v>
      </c>
      <c r="F441" s="1">
        <v>3.5</v>
      </c>
      <c r="G441" s="1">
        <v>3.6</v>
      </c>
      <c r="H441" s="1">
        <v>1.35</v>
      </c>
      <c r="I441" s="1">
        <v>3.29</v>
      </c>
      <c r="J441" s="1">
        <v>3.0992000000000002</v>
      </c>
      <c r="K441" s="1" t="s">
        <v>83</v>
      </c>
      <c r="N441" s="1">
        <v>13.98</v>
      </c>
      <c r="O441" s="1">
        <v>2.1000000000000001E-2</v>
      </c>
      <c r="P441" s="1">
        <v>7.45</v>
      </c>
      <c r="Q441" s="1">
        <v>40</v>
      </c>
      <c r="R441" s="1" t="s">
        <v>82</v>
      </c>
      <c r="S441" s="1">
        <v>238.11</v>
      </c>
      <c r="T441" s="1">
        <v>92</v>
      </c>
      <c r="U441" s="1">
        <v>2.08</v>
      </c>
      <c r="V441" s="1">
        <v>-6.26</v>
      </c>
      <c r="W441" s="1">
        <v>0.3</v>
      </c>
      <c r="X441" s="1">
        <f t="shared" si="61"/>
        <v>300</v>
      </c>
      <c r="Y441" s="1">
        <v>6.3</v>
      </c>
      <c r="Z441" s="1">
        <v>0.11</v>
      </c>
      <c r="AA441" s="1">
        <v>60.297186924278201</v>
      </c>
      <c r="AB441" s="1">
        <v>7</v>
      </c>
      <c r="AC441" s="1">
        <v>25</v>
      </c>
      <c r="AH441" s="1">
        <v>0.70853710077806198</v>
      </c>
      <c r="AJ441" s="1">
        <f>IF(ISNUMBER(AH441),1-AH441,"")</f>
        <v>0.29146289922193802</v>
      </c>
      <c r="AK441" s="1">
        <f>IF(AND(ISNUMBER(AJ441),AJ441&gt;0),LN(AJ441),"")</f>
        <v>-1.2328425566882295</v>
      </c>
      <c r="AM441">
        <v>58</v>
      </c>
      <c r="AN441">
        <f>IF(ISNUMBER(AJ441),IF(AJ441&gt;=0.05,1,0),"")</f>
        <v>1</v>
      </c>
      <c r="AO441">
        <f>IF(ISNUMBER(AJ441),IF(AJ441&lt;0.005,1,0),"")</f>
        <v>0</v>
      </c>
      <c r="AQ441" s="34"/>
      <c r="AR441" s="35"/>
      <c r="AS441" s="36"/>
    </row>
    <row r="442" spans="1:45" ht="57" x14ac:dyDescent="0.45">
      <c r="A442" s="1" t="s">
        <v>87</v>
      </c>
      <c r="B442" s="1" t="s">
        <v>86</v>
      </c>
      <c r="C442" s="1">
        <v>182</v>
      </c>
      <c r="D442" s="1">
        <v>444.44</v>
      </c>
      <c r="E442" s="1">
        <v>-1.3</v>
      </c>
      <c r="F442" s="1">
        <v>3.5</v>
      </c>
      <c r="G442" s="1">
        <v>3.6</v>
      </c>
      <c r="H442" s="1">
        <v>1.35</v>
      </c>
      <c r="I442" s="1">
        <v>3.29</v>
      </c>
      <c r="J442" s="1">
        <v>3.0992000000000002</v>
      </c>
      <c r="K442" s="1" t="s">
        <v>83</v>
      </c>
      <c r="N442" s="1">
        <v>13.98</v>
      </c>
      <c r="O442" s="1">
        <v>2.1000000000000001E-2</v>
      </c>
      <c r="P442" s="1">
        <v>7.45</v>
      </c>
      <c r="Q442" s="1">
        <v>40</v>
      </c>
      <c r="R442" s="1" t="s">
        <v>82</v>
      </c>
      <c r="S442" s="1">
        <v>238.11</v>
      </c>
      <c r="T442" s="1">
        <v>92</v>
      </c>
      <c r="U442" s="1">
        <v>2.08</v>
      </c>
      <c r="V442" s="1">
        <v>-6.26</v>
      </c>
      <c r="W442" s="1">
        <v>0.3</v>
      </c>
      <c r="X442" s="1">
        <f t="shared" si="61"/>
        <v>300</v>
      </c>
      <c r="Y442" s="1">
        <v>6.3</v>
      </c>
      <c r="Z442" s="1">
        <v>0.11</v>
      </c>
      <c r="AA442" s="1">
        <v>80.997186924278196</v>
      </c>
      <c r="AB442" s="1">
        <v>7</v>
      </c>
      <c r="AC442" s="1">
        <v>25</v>
      </c>
      <c r="AH442" s="1">
        <v>0.74227043411139504</v>
      </c>
      <c r="AJ442" s="1">
        <f>IF(ISNUMBER(AH442),1-AH442,"")</f>
        <v>0.25772956588860496</v>
      </c>
      <c r="AK442" s="1">
        <f>IF(AND(ISNUMBER(AJ442),AJ442&gt;0),LN(AJ442),"")</f>
        <v>-1.3558444380304946</v>
      </c>
      <c r="AM442">
        <v>58</v>
      </c>
      <c r="AN442">
        <f>IF(ISNUMBER(AJ442),IF(AJ442&gt;=0.05,1,0),"")</f>
        <v>1</v>
      </c>
      <c r="AO442">
        <f>IF(ISNUMBER(AJ442),IF(AJ442&lt;0.005,1,0),"")</f>
        <v>0</v>
      </c>
      <c r="AQ442" s="34"/>
      <c r="AR442" s="35"/>
      <c r="AS442" s="36"/>
    </row>
    <row r="443" spans="1:45" ht="57" x14ac:dyDescent="0.45">
      <c r="A443" s="1" t="s">
        <v>87</v>
      </c>
      <c r="B443" s="1" t="s">
        <v>86</v>
      </c>
      <c r="C443" s="1">
        <v>182</v>
      </c>
      <c r="D443" s="1">
        <v>444.44</v>
      </c>
      <c r="E443" s="1">
        <v>-1.3</v>
      </c>
      <c r="F443" s="1">
        <v>3.5</v>
      </c>
      <c r="G443" s="1">
        <v>3.6</v>
      </c>
      <c r="H443" s="1">
        <v>1.35</v>
      </c>
      <c r="I443" s="1">
        <v>3.29</v>
      </c>
      <c r="J443" s="1">
        <v>3.0992000000000002</v>
      </c>
      <c r="K443" s="1" t="s">
        <v>83</v>
      </c>
      <c r="N443" s="1">
        <v>13.98</v>
      </c>
      <c r="O443" s="1">
        <v>2.1000000000000001E-2</v>
      </c>
      <c r="P443" s="1">
        <v>7.45</v>
      </c>
      <c r="Q443" s="1">
        <v>40</v>
      </c>
      <c r="R443" s="1" t="s">
        <v>82</v>
      </c>
      <c r="S443" s="1">
        <v>238.11</v>
      </c>
      <c r="T443" s="1">
        <v>92</v>
      </c>
      <c r="U443" s="1">
        <v>2.08</v>
      </c>
      <c r="V443" s="1">
        <v>-6.26</v>
      </c>
      <c r="W443" s="1">
        <v>0.3</v>
      </c>
      <c r="X443" s="1">
        <f t="shared" si="61"/>
        <v>300</v>
      </c>
      <c r="Y443" s="1">
        <v>6.3</v>
      </c>
      <c r="Z443" s="1">
        <v>0.11</v>
      </c>
      <c r="AA443" s="1">
        <v>100.635648462739</v>
      </c>
      <c r="AB443" s="1">
        <v>7</v>
      </c>
      <c r="AC443" s="1">
        <v>25</v>
      </c>
      <c r="AH443" s="1">
        <v>0.74687043411139498</v>
      </c>
      <c r="AJ443" s="1">
        <f>IF(ISNUMBER(AH443),1-AH443,"")</f>
        <v>0.25312956588860502</v>
      </c>
      <c r="AK443" s="1">
        <f>IF(AND(ISNUMBER(AJ443),AJ443&gt;0),LN(AJ443),"")</f>
        <v>-1.373853803205578</v>
      </c>
      <c r="AM443">
        <v>58</v>
      </c>
      <c r="AN443">
        <f>IF(ISNUMBER(AJ443),IF(AJ443&gt;=0.05,1,0),"")</f>
        <v>1</v>
      </c>
      <c r="AO443">
        <f>IF(ISNUMBER(AJ443),IF(AJ443&lt;0.005,1,0),"")</f>
        <v>0</v>
      </c>
      <c r="AQ443" s="34"/>
      <c r="AR443" s="35"/>
      <c r="AS443" s="36"/>
    </row>
    <row r="444" spans="1:45" ht="57" x14ac:dyDescent="0.45">
      <c r="A444" s="1" t="s">
        <v>87</v>
      </c>
      <c r="B444" s="1" t="s">
        <v>86</v>
      </c>
      <c r="C444" s="1">
        <v>182</v>
      </c>
      <c r="D444" s="1">
        <v>444.44</v>
      </c>
      <c r="E444" s="1">
        <v>-1.3</v>
      </c>
      <c r="F444" s="1">
        <v>3.5</v>
      </c>
      <c r="G444" s="1">
        <v>3.6</v>
      </c>
      <c r="H444" s="1">
        <v>1.35</v>
      </c>
      <c r="I444" s="1">
        <v>3.29</v>
      </c>
      <c r="J444" s="1">
        <v>3.0992000000000002</v>
      </c>
      <c r="K444" s="1" t="s">
        <v>83</v>
      </c>
      <c r="N444" s="1">
        <v>13.98</v>
      </c>
      <c r="O444" s="1">
        <v>2.1000000000000001E-2</v>
      </c>
      <c r="P444" s="1">
        <v>7.45</v>
      </c>
      <c r="Q444" s="1">
        <v>40</v>
      </c>
      <c r="R444" s="1" t="s">
        <v>82</v>
      </c>
      <c r="S444" s="1">
        <v>238.11</v>
      </c>
      <c r="T444" s="1">
        <v>92</v>
      </c>
      <c r="U444" s="1">
        <v>2.08</v>
      </c>
      <c r="V444" s="1">
        <v>-6.26</v>
      </c>
      <c r="W444" s="1">
        <v>0.3</v>
      </c>
      <c r="X444" s="1">
        <f t="shared" si="61"/>
        <v>300</v>
      </c>
      <c r="Y444" s="1">
        <v>6.3</v>
      </c>
      <c r="Z444" s="1">
        <v>0.11</v>
      </c>
      <c r="AA444" s="1">
        <v>121.158725385816</v>
      </c>
      <c r="AB444" s="1">
        <v>7</v>
      </c>
      <c r="AC444" s="1">
        <v>25</v>
      </c>
      <c r="AH444" s="1">
        <v>0.75760376744472901</v>
      </c>
      <c r="AJ444" s="1">
        <f>IF(ISNUMBER(AH444),1-AH444,"")</f>
        <v>0.24239623255527099</v>
      </c>
      <c r="AK444" s="1">
        <f>IF(AND(ISNUMBER(AJ444),AJ444&gt;0),LN(AJ444),"")</f>
        <v>-1.4171815671714934</v>
      </c>
      <c r="AM444">
        <v>58</v>
      </c>
      <c r="AN444">
        <f>IF(ISNUMBER(AJ444),IF(AJ444&gt;=0.05,1,0),"")</f>
        <v>1</v>
      </c>
      <c r="AO444">
        <f>IF(ISNUMBER(AJ444),IF(AJ444&lt;0.005,1,0),"")</f>
        <v>0</v>
      </c>
      <c r="AQ444" s="34"/>
      <c r="AR444" s="35"/>
      <c r="AS444" s="36"/>
    </row>
    <row r="445" spans="1:45" ht="57" x14ac:dyDescent="0.45">
      <c r="A445" s="1" t="s">
        <v>87</v>
      </c>
      <c r="B445" s="1" t="s">
        <v>86</v>
      </c>
      <c r="C445" s="1">
        <v>182</v>
      </c>
      <c r="D445" s="1">
        <v>444.44</v>
      </c>
      <c r="E445" s="1">
        <v>-1.3</v>
      </c>
      <c r="F445" s="1">
        <v>3.5</v>
      </c>
      <c r="G445" s="1">
        <v>3.6</v>
      </c>
      <c r="H445" s="1">
        <v>1.35</v>
      </c>
      <c r="I445" s="1">
        <v>3.29</v>
      </c>
      <c r="J445" s="1">
        <v>3.0992000000000002</v>
      </c>
      <c r="K445" s="1" t="s">
        <v>83</v>
      </c>
      <c r="N445" s="1">
        <v>13.98</v>
      </c>
      <c r="O445" s="1">
        <v>2.1000000000000001E-2</v>
      </c>
      <c r="P445" s="1">
        <v>7.45</v>
      </c>
      <c r="Q445" s="1">
        <v>40</v>
      </c>
      <c r="R445" s="1" t="s">
        <v>82</v>
      </c>
      <c r="S445" s="1">
        <v>238.11</v>
      </c>
      <c r="T445" s="1">
        <v>92</v>
      </c>
      <c r="U445" s="1">
        <v>2.08</v>
      </c>
      <c r="V445" s="1">
        <v>-6.26</v>
      </c>
      <c r="W445" s="1">
        <v>0.3</v>
      </c>
      <c r="X445" s="1">
        <f t="shared" si="61"/>
        <v>300</v>
      </c>
      <c r="Y445" s="1">
        <v>6.3</v>
      </c>
      <c r="Z445" s="1">
        <v>0.11</v>
      </c>
      <c r="AA445" s="1">
        <v>0.143340770432071</v>
      </c>
      <c r="AB445" s="1">
        <v>5.81</v>
      </c>
      <c r="AC445" s="1">
        <v>25</v>
      </c>
      <c r="AH445" s="1">
        <v>1.087043411139399E-2</v>
      </c>
      <c r="AI445" s="1">
        <v>1.0855486033781152E-2</v>
      </c>
      <c r="AJ445" s="1">
        <f>IF(ISNUMBER(AH445),1-AH445,"")</f>
        <v>0.98912956588860601</v>
      </c>
      <c r="AK445" s="1">
        <f>IF(AND(ISNUMBER(AJ445),AJ445&gt;0),LN(AJ445),"")</f>
        <v>-1.0929948974864528E-2</v>
      </c>
      <c r="AM445">
        <v>59</v>
      </c>
      <c r="AN445">
        <f>IF(ISNUMBER(AJ445),IF(AJ445&gt;=0.05,1,0),"")</f>
        <v>1</v>
      </c>
      <c r="AO445">
        <f>IF(ISNUMBER(AJ445),IF(AJ445&lt;0.005,1,0),"")</f>
        <v>0</v>
      </c>
      <c r="AP445">
        <f>IFERROR(MATCH(0,AN445:AN452,0)-1,8)</f>
        <v>8</v>
      </c>
      <c r="AQ445" s="34">
        <f>IF(AP445&lt;3,"n&lt;3",IFERROR(-SLOPE(AK445:INDEX(AK445:AK452,AP445),AA445:INDEX(AA445:AA452,AP445)),"no fit"))</f>
        <v>8.8805663746529279E-3</v>
      </c>
      <c r="AR445" s="35">
        <f>IF(AP445&lt;3,"",IFERROR(RSQ(AK445:INDEX(AK445:AK452,AP445),AA445:INDEX(AA445:AA452,AP445)),"flat"))</f>
        <v>0.74931681438312059</v>
      </c>
      <c r="AS445" s="36">
        <f>IFERROR(AQ445/AI445,"")</f>
        <v>0.81807174243672942</v>
      </c>
    </row>
    <row r="446" spans="1:45" ht="57" x14ac:dyDescent="0.45">
      <c r="A446" s="1" t="s">
        <v>87</v>
      </c>
      <c r="B446" s="1" t="s">
        <v>86</v>
      </c>
      <c r="C446" s="1">
        <v>182</v>
      </c>
      <c r="D446" s="1">
        <v>444.44</v>
      </c>
      <c r="E446" s="1">
        <v>-1.3</v>
      </c>
      <c r="F446" s="1">
        <v>3.5</v>
      </c>
      <c r="G446" s="1">
        <v>3.6</v>
      </c>
      <c r="H446" s="1">
        <v>1.35</v>
      </c>
      <c r="I446" s="1">
        <v>3.29</v>
      </c>
      <c r="J446" s="1">
        <v>3.0992000000000002</v>
      </c>
      <c r="K446" s="1" t="s">
        <v>83</v>
      </c>
      <c r="N446" s="1">
        <v>13.98</v>
      </c>
      <c r="O446" s="1">
        <v>2.1000000000000001E-2</v>
      </c>
      <c r="P446" s="1">
        <v>7.45</v>
      </c>
      <c r="Q446" s="1">
        <v>40</v>
      </c>
      <c r="R446" s="1" t="s">
        <v>82</v>
      </c>
      <c r="S446" s="1">
        <v>238.11</v>
      </c>
      <c r="T446" s="1">
        <v>92</v>
      </c>
      <c r="U446" s="1">
        <v>2.08</v>
      </c>
      <c r="V446" s="1">
        <v>-6.26</v>
      </c>
      <c r="W446" s="1">
        <v>0.3</v>
      </c>
      <c r="X446" s="1">
        <f t="shared" si="61"/>
        <v>300</v>
      </c>
      <c r="Y446" s="1">
        <v>6.3</v>
      </c>
      <c r="Z446" s="1">
        <v>0.11</v>
      </c>
      <c r="AA446" s="1">
        <v>10.0510330781243</v>
      </c>
      <c r="AB446" s="1">
        <v>5.81</v>
      </c>
      <c r="AC446" s="1">
        <v>25</v>
      </c>
      <c r="AH446" s="1">
        <v>0.42947043411139496</v>
      </c>
      <c r="AJ446" s="1">
        <f>IF(ISNUMBER(AH446),1-AH446,"")</f>
        <v>0.57052956588860504</v>
      </c>
      <c r="AK446" s="1">
        <f>IF(AND(ISNUMBER(AJ446),AJ446&gt;0),LN(AJ446),"")</f>
        <v>-0.56119028650294711</v>
      </c>
      <c r="AM446">
        <v>59</v>
      </c>
      <c r="AN446">
        <f>IF(ISNUMBER(AJ446),IF(AJ446&gt;=0.05,1,0),"")</f>
        <v>1</v>
      </c>
      <c r="AO446">
        <f>IF(ISNUMBER(AJ446),IF(AJ446&lt;0.005,1,0),"")</f>
        <v>0</v>
      </c>
      <c r="AQ446" s="34"/>
      <c r="AR446" s="35"/>
      <c r="AS446" s="36"/>
    </row>
    <row r="447" spans="1:45" ht="57" x14ac:dyDescent="0.45">
      <c r="A447" s="1" t="s">
        <v>87</v>
      </c>
      <c r="B447" s="1" t="s">
        <v>86</v>
      </c>
      <c r="C447" s="1">
        <v>182</v>
      </c>
      <c r="D447" s="1">
        <v>444.44</v>
      </c>
      <c r="E447" s="1">
        <v>-1.3</v>
      </c>
      <c r="F447" s="1">
        <v>3.5</v>
      </c>
      <c r="G447" s="1">
        <v>3.6</v>
      </c>
      <c r="H447" s="1">
        <v>1.35</v>
      </c>
      <c r="I447" s="1">
        <v>3.29</v>
      </c>
      <c r="J447" s="1">
        <v>3.0992000000000002</v>
      </c>
      <c r="K447" s="1" t="s">
        <v>83</v>
      </c>
      <c r="N447" s="1">
        <v>13.98</v>
      </c>
      <c r="O447" s="1">
        <v>2.1000000000000001E-2</v>
      </c>
      <c r="P447" s="1">
        <v>7.45</v>
      </c>
      <c r="Q447" s="1">
        <v>40</v>
      </c>
      <c r="R447" s="1" t="s">
        <v>82</v>
      </c>
      <c r="S447" s="1">
        <v>238.11</v>
      </c>
      <c r="T447" s="1">
        <v>92</v>
      </c>
      <c r="U447" s="1">
        <v>2.08</v>
      </c>
      <c r="V447" s="1">
        <v>-6.26</v>
      </c>
      <c r="W447" s="1">
        <v>0.3</v>
      </c>
      <c r="X447" s="1">
        <f t="shared" si="61"/>
        <v>300</v>
      </c>
      <c r="Y447" s="1">
        <v>6.3</v>
      </c>
      <c r="Z447" s="1">
        <v>0.11</v>
      </c>
      <c r="AA447" s="1">
        <v>19.781802308893599</v>
      </c>
      <c r="AB447" s="1">
        <v>5.81</v>
      </c>
      <c r="AC447" s="1">
        <v>25</v>
      </c>
      <c r="AH447" s="1">
        <v>0.55367043411139494</v>
      </c>
      <c r="AJ447" s="1">
        <f>IF(ISNUMBER(AH447),1-AH447,"")</f>
        <v>0.44632956588860506</v>
      </c>
      <c r="AK447" s="1">
        <f>IF(AND(ISNUMBER(AJ447),AJ447&gt;0),LN(AJ447),"")</f>
        <v>-0.80669766287161038</v>
      </c>
      <c r="AM447">
        <v>59</v>
      </c>
      <c r="AN447">
        <f>IF(ISNUMBER(AJ447),IF(AJ447&gt;=0.05,1,0),"")</f>
        <v>1</v>
      </c>
      <c r="AO447">
        <f>IF(ISNUMBER(AJ447),IF(AJ447&lt;0.005,1,0),"")</f>
        <v>0</v>
      </c>
      <c r="AQ447" s="34"/>
      <c r="AR447" s="35"/>
      <c r="AS447" s="36"/>
    </row>
    <row r="448" spans="1:45" ht="57" x14ac:dyDescent="0.45">
      <c r="A448" s="1" t="s">
        <v>87</v>
      </c>
      <c r="B448" s="1" t="s">
        <v>86</v>
      </c>
      <c r="C448" s="1">
        <v>182</v>
      </c>
      <c r="D448" s="1">
        <v>444.44</v>
      </c>
      <c r="E448" s="1">
        <v>-1.3</v>
      </c>
      <c r="F448" s="1">
        <v>3.5</v>
      </c>
      <c r="G448" s="1">
        <v>3.6</v>
      </c>
      <c r="H448" s="1">
        <v>1.35</v>
      </c>
      <c r="I448" s="1">
        <v>3.29</v>
      </c>
      <c r="J448" s="1">
        <v>3.0992000000000002</v>
      </c>
      <c r="K448" s="1" t="s">
        <v>83</v>
      </c>
      <c r="N448" s="1">
        <v>13.98</v>
      </c>
      <c r="O448" s="1">
        <v>2.1000000000000001E-2</v>
      </c>
      <c r="P448" s="1">
        <v>7.45</v>
      </c>
      <c r="Q448" s="1">
        <v>40</v>
      </c>
      <c r="R448" s="1" t="s">
        <v>82</v>
      </c>
      <c r="S448" s="1">
        <v>238.11</v>
      </c>
      <c r="T448" s="1">
        <v>92</v>
      </c>
      <c r="U448" s="1">
        <v>2.08</v>
      </c>
      <c r="V448" s="1">
        <v>-6.26</v>
      </c>
      <c r="W448" s="1">
        <v>0.3</v>
      </c>
      <c r="X448" s="1">
        <f t="shared" si="61"/>
        <v>300</v>
      </c>
      <c r="Y448" s="1">
        <v>6.3</v>
      </c>
      <c r="Z448" s="1">
        <v>0.11</v>
      </c>
      <c r="AA448" s="1">
        <v>40.304879231970503</v>
      </c>
      <c r="AB448" s="1">
        <v>5.81</v>
      </c>
      <c r="AC448" s="1">
        <v>25</v>
      </c>
      <c r="AH448" s="1">
        <v>0.65027043411139496</v>
      </c>
      <c r="AJ448" s="1">
        <f>IF(ISNUMBER(AH448),1-AH448,"")</f>
        <v>0.34972956588860504</v>
      </c>
      <c r="AK448" s="1">
        <f>IF(AND(ISNUMBER(AJ448),AJ448&gt;0),LN(AJ448),"")</f>
        <v>-1.0505950920508389</v>
      </c>
      <c r="AM448">
        <v>59</v>
      </c>
      <c r="AN448">
        <f>IF(ISNUMBER(AJ448),IF(AJ448&gt;=0.05,1,0),"")</f>
        <v>1</v>
      </c>
      <c r="AO448">
        <f>IF(ISNUMBER(AJ448),IF(AJ448&lt;0.005,1,0),"")</f>
        <v>0</v>
      </c>
      <c r="AQ448" s="34"/>
      <c r="AR448" s="35"/>
      <c r="AS448" s="36"/>
    </row>
    <row r="449" spans="1:45" ht="57" x14ac:dyDescent="0.45">
      <c r="A449" s="1" t="s">
        <v>87</v>
      </c>
      <c r="B449" s="1" t="s">
        <v>86</v>
      </c>
      <c r="C449" s="1">
        <v>182</v>
      </c>
      <c r="D449" s="1">
        <v>444.44</v>
      </c>
      <c r="E449" s="1">
        <v>-1.3</v>
      </c>
      <c r="F449" s="1">
        <v>3.5</v>
      </c>
      <c r="G449" s="1">
        <v>3.6</v>
      </c>
      <c r="H449" s="1">
        <v>1.35</v>
      </c>
      <c r="I449" s="1">
        <v>3.29</v>
      </c>
      <c r="J449" s="1">
        <v>3.0992000000000002</v>
      </c>
      <c r="K449" s="1" t="s">
        <v>83</v>
      </c>
      <c r="N449" s="1">
        <v>13.98</v>
      </c>
      <c r="O449" s="1">
        <v>2.1000000000000001E-2</v>
      </c>
      <c r="P449" s="1">
        <v>7.45</v>
      </c>
      <c r="Q449" s="1">
        <v>40</v>
      </c>
      <c r="R449" s="1" t="s">
        <v>82</v>
      </c>
      <c r="S449" s="1">
        <v>238.11</v>
      </c>
      <c r="T449" s="1">
        <v>92</v>
      </c>
      <c r="U449" s="1">
        <v>2.08</v>
      </c>
      <c r="V449" s="1">
        <v>-6.26</v>
      </c>
      <c r="W449" s="1">
        <v>0.3</v>
      </c>
      <c r="X449" s="1">
        <f t="shared" si="61"/>
        <v>300</v>
      </c>
      <c r="Y449" s="1">
        <v>6.3</v>
      </c>
      <c r="Z449" s="1">
        <v>0.11</v>
      </c>
      <c r="AA449" s="1">
        <v>60.6510330781243</v>
      </c>
      <c r="AB449" s="1">
        <v>5.81</v>
      </c>
      <c r="AC449" s="1">
        <v>25</v>
      </c>
      <c r="AH449" s="1">
        <v>0.68247043411139496</v>
      </c>
      <c r="AJ449" s="1">
        <f>IF(ISNUMBER(AH449),1-AH449,"")</f>
        <v>0.31752956588860504</v>
      </c>
      <c r="AK449" s="1">
        <f>IF(AND(ISNUMBER(AJ449),AJ449&gt;0),LN(AJ449),"")</f>
        <v>-1.1471843440758811</v>
      </c>
      <c r="AM449">
        <v>59</v>
      </c>
      <c r="AN449">
        <f>IF(ISNUMBER(AJ449),IF(AJ449&gt;=0.05,1,0),"")</f>
        <v>1</v>
      </c>
      <c r="AO449">
        <f>IF(ISNUMBER(AJ449),IF(AJ449&lt;0.005,1,0),"")</f>
        <v>0</v>
      </c>
      <c r="AQ449" s="34"/>
      <c r="AR449" s="35"/>
      <c r="AS449" s="36"/>
    </row>
    <row r="450" spans="1:45" ht="57" x14ac:dyDescent="0.45">
      <c r="A450" s="1" t="s">
        <v>87</v>
      </c>
      <c r="B450" s="1" t="s">
        <v>86</v>
      </c>
      <c r="C450" s="1">
        <v>182</v>
      </c>
      <c r="D450" s="1">
        <v>444.44</v>
      </c>
      <c r="E450" s="1">
        <v>-1.3</v>
      </c>
      <c r="F450" s="1">
        <v>3.5</v>
      </c>
      <c r="G450" s="1">
        <v>3.6</v>
      </c>
      <c r="H450" s="1">
        <v>1.35</v>
      </c>
      <c r="I450" s="1">
        <v>3.29</v>
      </c>
      <c r="J450" s="1">
        <v>3.0992000000000002</v>
      </c>
      <c r="K450" s="1" t="s">
        <v>83</v>
      </c>
      <c r="N450" s="1">
        <v>13.98</v>
      </c>
      <c r="O450" s="1">
        <v>2.1000000000000001E-2</v>
      </c>
      <c r="P450" s="1">
        <v>7.45</v>
      </c>
      <c r="Q450" s="1">
        <v>40</v>
      </c>
      <c r="R450" s="1" t="s">
        <v>82</v>
      </c>
      <c r="S450" s="1">
        <v>238.11</v>
      </c>
      <c r="T450" s="1">
        <v>92</v>
      </c>
      <c r="U450" s="1">
        <v>2.08</v>
      </c>
      <c r="V450" s="1">
        <v>-6.26</v>
      </c>
      <c r="W450" s="1">
        <v>0.3</v>
      </c>
      <c r="X450" s="1">
        <f t="shared" si="61"/>
        <v>300</v>
      </c>
      <c r="Y450" s="1">
        <v>6.3</v>
      </c>
      <c r="Z450" s="1">
        <v>0.11</v>
      </c>
      <c r="AA450" s="1">
        <v>80.643340770432005</v>
      </c>
      <c r="AB450" s="1">
        <v>5.81</v>
      </c>
      <c r="AC450" s="1">
        <v>25</v>
      </c>
      <c r="AH450" s="1">
        <v>0.71160376744472897</v>
      </c>
      <c r="AJ450" s="1">
        <f>IF(ISNUMBER(AH450),1-AH450,"")</f>
        <v>0.28839623255527103</v>
      </c>
      <c r="AK450" s="1">
        <f>IF(AND(ISNUMBER(AJ450),AJ450&gt;0),LN(AJ450),"")</f>
        <v>-1.2434199369185579</v>
      </c>
      <c r="AM450">
        <v>59</v>
      </c>
      <c r="AN450">
        <f>IF(ISNUMBER(AJ450),IF(AJ450&gt;=0.05,1,0),"")</f>
        <v>1</v>
      </c>
      <c r="AO450">
        <f>IF(ISNUMBER(AJ450),IF(AJ450&lt;0.005,1,0),"")</f>
        <v>0</v>
      </c>
      <c r="AQ450" s="34"/>
      <c r="AR450" s="35"/>
      <c r="AS450" s="36"/>
    </row>
    <row r="451" spans="1:45" ht="57" x14ac:dyDescent="0.45">
      <c r="A451" s="1" t="s">
        <v>87</v>
      </c>
      <c r="B451" s="1" t="s">
        <v>86</v>
      </c>
      <c r="C451" s="1">
        <v>182</v>
      </c>
      <c r="D451" s="1">
        <v>444.44</v>
      </c>
      <c r="E451" s="1">
        <v>-1.3</v>
      </c>
      <c r="F451" s="1">
        <v>3.5</v>
      </c>
      <c r="G451" s="1">
        <v>3.6</v>
      </c>
      <c r="H451" s="1">
        <v>1.35</v>
      </c>
      <c r="I451" s="1">
        <v>3.29</v>
      </c>
      <c r="J451" s="1">
        <v>3.0992000000000002</v>
      </c>
      <c r="K451" s="1" t="s">
        <v>83</v>
      </c>
      <c r="N451" s="1">
        <v>13.98</v>
      </c>
      <c r="O451" s="1">
        <v>2.1000000000000001E-2</v>
      </c>
      <c r="P451" s="1">
        <v>7.45</v>
      </c>
      <c r="Q451" s="1">
        <v>40</v>
      </c>
      <c r="R451" s="1" t="s">
        <v>82</v>
      </c>
      <c r="S451" s="1">
        <v>238.11</v>
      </c>
      <c r="T451" s="1">
        <v>92</v>
      </c>
      <c r="U451" s="1">
        <v>2.08</v>
      </c>
      <c r="V451" s="1">
        <v>-6.26</v>
      </c>
      <c r="W451" s="1">
        <v>0.3</v>
      </c>
      <c r="X451" s="1">
        <f t="shared" si="61"/>
        <v>300</v>
      </c>
      <c r="Y451" s="1">
        <v>6.3</v>
      </c>
      <c r="Z451" s="1">
        <v>0.11</v>
      </c>
      <c r="AA451" s="1">
        <v>100.98949461658501</v>
      </c>
      <c r="AB451" s="1">
        <v>5.81</v>
      </c>
      <c r="AC451" s="1">
        <v>25</v>
      </c>
      <c r="AH451" s="1">
        <v>0.72387043411139507</v>
      </c>
      <c r="AJ451" s="1">
        <f>IF(ISNUMBER(AH451),1-AH451,"")</f>
        <v>0.27612956588860493</v>
      </c>
      <c r="AK451" s="1">
        <f>IF(AND(ISNUMBER(AJ451),AJ451&gt;0),LN(AJ451),"")</f>
        <v>-1.2868850817928543</v>
      </c>
      <c r="AM451">
        <v>59</v>
      </c>
      <c r="AN451">
        <f>IF(ISNUMBER(AJ451),IF(AJ451&gt;=0.05,1,0),"")</f>
        <v>1</v>
      </c>
      <c r="AO451">
        <f>IF(ISNUMBER(AJ451),IF(AJ451&lt;0.005,1,0),"")</f>
        <v>0</v>
      </c>
      <c r="AQ451" s="34"/>
      <c r="AR451" s="35"/>
      <c r="AS451" s="36"/>
    </row>
    <row r="452" spans="1:45" ht="57" x14ac:dyDescent="0.45">
      <c r="A452" s="1" t="s">
        <v>87</v>
      </c>
      <c r="B452" s="1" t="s">
        <v>86</v>
      </c>
      <c r="C452" s="1">
        <v>182</v>
      </c>
      <c r="D452" s="1">
        <v>444.44</v>
      </c>
      <c r="E452" s="1">
        <v>-1.3</v>
      </c>
      <c r="F452" s="1">
        <v>3.5</v>
      </c>
      <c r="G452" s="1">
        <v>3.6</v>
      </c>
      <c r="H452" s="1">
        <v>1.35</v>
      </c>
      <c r="I452" s="1">
        <v>3.29</v>
      </c>
      <c r="J452" s="1">
        <v>3.0992000000000002</v>
      </c>
      <c r="K452" s="1" t="s">
        <v>83</v>
      </c>
      <c r="N452" s="1">
        <v>13.98</v>
      </c>
      <c r="O452" s="1">
        <v>2.1000000000000001E-2</v>
      </c>
      <c r="P452" s="1">
        <v>7.45</v>
      </c>
      <c r="Q452" s="1">
        <v>40</v>
      </c>
      <c r="R452" s="1" t="s">
        <v>82</v>
      </c>
      <c r="S452" s="1">
        <v>238.11</v>
      </c>
      <c r="T452" s="1">
        <v>92</v>
      </c>
      <c r="U452" s="1">
        <v>2.08</v>
      </c>
      <c r="V452" s="1">
        <v>-6.26</v>
      </c>
      <c r="W452" s="1">
        <v>0.3</v>
      </c>
      <c r="X452" s="1">
        <f t="shared" ref="X452:X515" si="62">W452*1000</f>
        <v>300</v>
      </c>
      <c r="Y452" s="1">
        <v>6.3</v>
      </c>
      <c r="Z452" s="1">
        <v>0.11</v>
      </c>
      <c r="AA452" s="1">
        <v>121.335648462739</v>
      </c>
      <c r="AB452" s="1">
        <v>5.81</v>
      </c>
      <c r="AC452" s="1">
        <v>25</v>
      </c>
      <c r="AH452" s="1">
        <v>0.73460376744472899</v>
      </c>
      <c r="AJ452" s="1">
        <f>IF(ISNUMBER(AH452),1-AH452,"")</f>
        <v>0.26539623255527101</v>
      </c>
      <c r="AK452" s="1">
        <f>IF(AND(ISNUMBER(AJ452),AJ452&gt;0),LN(AJ452),"")</f>
        <v>-1.3265313525304103</v>
      </c>
      <c r="AM452">
        <v>59</v>
      </c>
      <c r="AN452">
        <f>IF(ISNUMBER(AJ452),IF(AJ452&gt;=0.05,1,0),"")</f>
        <v>1</v>
      </c>
      <c r="AO452">
        <f>IF(ISNUMBER(AJ452),IF(AJ452&lt;0.005,1,0),"")</f>
        <v>0</v>
      </c>
      <c r="AQ452" s="34"/>
      <c r="AR452" s="35"/>
      <c r="AS452" s="36"/>
    </row>
    <row r="453" spans="1:45" ht="57" x14ac:dyDescent="0.45">
      <c r="A453" s="1" t="s">
        <v>87</v>
      </c>
      <c r="B453" s="1" t="s">
        <v>86</v>
      </c>
      <c r="C453" s="1">
        <v>182</v>
      </c>
      <c r="D453" s="1">
        <v>444.44</v>
      </c>
      <c r="E453" s="1">
        <v>-1.3</v>
      </c>
      <c r="F453" s="1">
        <v>3.5</v>
      </c>
      <c r="G453" s="1">
        <v>3.6</v>
      </c>
      <c r="H453" s="1">
        <v>1.35</v>
      </c>
      <c r="I453" s="1">
        <v>3.29</v>
      </c>
      <c r="J453" s="1">
        <v>3.0992000000000002</v>
      </c>
      <c r="K453" s="1" t="s">
        <v>83</v>
      </c>
      <c r="N453" s="1">
        <v>13.98</v>
      </c>
      <c r="O453" s="1">
        <v>2.1000000000000001E-2</v>
      </c>
      <c r="P453" s="1">
        <v>7.45</v>
      </c>
      <c r="Q453" s="1">
        <v>40</v>
      </c>
      <c r="R453" s="1" t="s">
        <v>82</v>
      </c>
      <c r="S453" s="1">
        <v>238.11</v>
      </c>
      <c r="T453" s="1">
        <v>92</v>
      </c>
      <c r="U453" s="1">
        <v>2.08</v>
      </c>
      <c r="V453" s="1">
        <v>-6.26</v>
      </c>
      <c r="W453" s="1">
        <v>0.3</v>
      </c>
      <c r="X453" s="1">
        <f t="shared" si="62"/>
        <v>300</v>
      </c>
      <c r="Y453" s="1">
        <v>6.3</v>
      </c>
      <c r="Z453" s="1">
        <v>0.11</v>
      </c>
      <c r="AA453" s="1">
        <v>-3.35823064910113E-2</v>
      </c>
      <c r="AB453" s="1">
        <v>3.5</v>
      </c>
      <c r="AC453" s="1">
        <v>25</v>
      </c>
      <c r="AH453" s="1">
        <v>1.2403767444727043E-2</v>
      </c>
      <c r="AI453" s="1">
        <v>1.2280819369427716E-2</v>
      </c>
      <c r="AJ453" s="1">
        <f>IF(ISNUMBER(AH453),1-AH453,"")</f>
        <v>0.98759623255527296</v>
      </c>
      <c r="AK453" s="1">
        <f>IF(AND(ISNUMBER(AJ453),AJ453&gt;0),LN(AJ453),"")</f>
        <v>-1.2481336265986031E-2</v>
      </c>
      <c r="AM453">
        <v>60</v>
      </c>
      <c r="AN453">
        <f>IF(ISNUMBER(AJ453),IF(AJ453&gt;=0.05,1,0),"")</f>
        <v>1</v>
      </c>
      <c r="AO453">
        <f>IF(ISNUMBER(AJ453),IF(AJ453&lt;0.005,1,0),"")</f>
        <v>0</v>
      </c>
      <c r="AP453">
        <f>IFERROR(MATCH(0,AN453:AN460,0)-1,8)</f>
        <v>8</v>
      </c>
      <c r="AQ453" s="34">
        <f>IF(AP453&lt;3,"n&lt;3",IFERROR(-SLOPE(AK453:INDEX(AK453:AK460,AP453),AA453:INDEX(AA453:AA460,AP453)),"no fit"))</f>
        <v>8.8055662314320774E-3</v>
      </c>
      <c r="AR453" s="35">
        <f>IF(AP453&lt;3,"",IFERROR(RSQ(AK453:INDEX(AK453:AK460,AP453),AA453:INDEX(AA453:AA460,AP453)),"flat"))</f>
        <v>0.66566897167290984</v>
      </c>
      <c r="AS453" s="36">
        <f>IFERROR(AQ453/AI453,"")</f>
        <v>0.71701781180439395</v>
      </c>
    </row>
    <row r="454" spans="1:45" ht="57" x14ac:dyDescent="0.45">
      <c r="A454" s="1" t="s">
        <v>87</v>
      </c>
      <c r="B454" s="1" t="s">
        <v>86</v>
      </c>
      <c r="C454" s="1">
        <v>182</v>
      </c>
      <c r="D454" s="1">
        <v>444.44</v>
      </c>
      <c r="E454" s="1">
        <v>-1.3</v>
      </c>
      <c r="F454" s="1">
        <v>3.5</v>
      </c>
      <c r="G454" s="1">
        <v>3.6</v>
      </c>
      <c r="H454" s="1">
        <v>1.35</v>
      </c>
      <c r="I454" s="1">
        <v>3.29</v>
      </c>
      <c r="J454" s="1">
        <v>3.0992000000000002</v>
      </c>
      <c r="K454" s="1" t="s">
        <v>83</v>
      </c>
      <c r="N454" s="1">
        <v>13.98</v>
      </c>
      <c r="O454" s="1">
        <v>2.1000000000000001E-2</v>
      </c>
      <c r="P454" s="1">
        <v>7.45</v>
      </c>
      <c r="Q454" s="1">
        <v>40</v>
      </c>
      <c r="R454" s="1" t="s">
        <v>82</v>
      </c>
      <c r="S454" s="1">
        <v>238.11</v>
      </c>
      <c r="T454" s="1">
        <v>92</v>
      </c>
      <c r="U454" s="1">
        <v>2.08</v>
      </c>
      <c r="V454" s="1">
        <v>-6.26</v>
      </c>
      <c r="W454" s="1">
        <v>0.3</v>
      </c>
      <c r="X454" s="1">
        <f t="shared" si="62"/>
        <v>300</v>
      </c>
      <c r="Y454" s="1">
        <v>6.3</v>
      </c>
      <c r="Z454" s="1">
        <v>0.11</v>
      </c>
      <c r="AA454" s="1">
        <v>9.8741100012012897</v>
      </c>
      <c r="AB454" s="1">
        <v>3.5</v>
      </c>
      <c r="AC454" s="1">
        <v>25</v>
      </c>
      <c r="AH454" s="1">
        <v>0.55980376744472804</v>
      </c>
      <c r="AJ454" s="1">
        <f>IF(ISNUMBER(AH454),1-AH454,"")</f>
        <v>0.44019623255527196</v>
      </c>
      <c r="AK454" s="1">
        <f>IF(AND(ISNUMBER(AJ454),AJ454&gt;0),LN(AJ454),"")</f>
        <v>-0.82053466841056166</v>
      </c>
      <c r="AM454">
        <v>60</v>
      </c>
      <c r="AN454">
        <f>IF(ISNUMBER(AJ454),IF(AJ454&gt;=0.05,1,0),"")</f>
        <v>1</v>
      </c>
      <c r="AO454">
        <f>IF(ISNUMBER(AJ454),IF(AJ454&lt;0.005,1,0),"")</f>
        <v>0</v>
      </c>
      <c r="AQ454" s="34"/>
      <c r="AR454" s="35"/>
      <c r="AS454" s="36"/>
    </row>
    <row r="455" spans="1:45" ht="57" x14ac:dyDescent="0.45">
      <c r="A455" s="1" t="s">
        <v>87</v>
      </c>
      <c r="B455" s="1" t="s">
        <v>86</v>
      </c>
      <c r="C455" s="1">
        <v>182</v>
      </c>
      <c r="D455" s="1">
        <v>444.44</v>
      </c>
      <c r="E455" s="1">
        <v>-1.3</v>
      </c>
      <c r="F455" s="1">
        <v>3.5</v>
      </c>
      <c r="G455" s="1">
        <v>3.6</v>
      </c>
      <c r="H455" s="1">
        <v>1.35</v>
      </c>
      <c r="I455" s="1">
        <v>3.29</v>
      </c>
      <c r="J455" s="1">
        <v>3.0992000000000002</v>
      </c>
      <c r="K455" s="1" t="s">
        <v>83</v>
      </c>
      <c r="N455" s="1">
        <v>13.98</v>
      </c>
      <c r="O455" s="1">
        <v>2.1000000000000001E-2</v>
      </c>
      <c r="P455" s="1">
        <v>7.45</v>
      </c>
      <c r="Q455" s="1">
        <v>40</v>
      </c>
      <c r="R455" s="1" t="s">
        <v>82</v>
      </c>
      <c r="S455" s="1">
        <v>238.11</v>
      </c>
      <c r="T455" s="1">
        <v>92</v>
      </c>
      <c r="U455" s="1">
        <v>2.08</v>
      </c>
      <c r="V455" s="1">
        <v>-6.26</v>
      </c>
      <c r="W455" s="1">
        <v>0.3</v>
      </c>
      <c r="X455" s="1">
        <f t="shared" si="62"/>
        <v>300</v>
      </c>
      <c r="Y455" s="1">
        <v>6.3</v>
      </c>
      <c r="Z455" s="1">
        <v>0.11</v>
      </c>
      <c r="AA455" s="1">
        <v>19.958725385816599</v>
      </c>
      <c r="AB455" s="1">
        <v>3.5</v>
      </c>
      <c r="AC455" s="1">
        <v>25</v>
      </c>
      <c r="AH455" s="1">
        <v>0.63647043411139492</v>
      </c>
      <c r="AJ455" s="1">
        <f>IF(ISNUMBER(AH455),1-AH455,"")</f>
        <v>0.36352956588860508</v>
      </c>
      <c r="AK455" s="1">
        <f>IF(AND(ISNUMBER(AJ455),AJ455&gt;0),LN(AJ455),"")</f>
        <v>-1.0118946486212881</v>
      </c>
      <c r="AM455">
        <v>60</v>
      </c>
      <c r="AN455">
        <f>IF(ISNUMBER(AJ455),IF(AJ455&gt;=0.05,1,0),"")</f>
        <v>1</v>
      </c>
      <c r="AO455">
        <f>IF(ISNUMBER(AJ455),IF(AJ455&lt;0.005,1,0),"")</f>
        <v>0</v>
      </c>
      <c r="AQ455" s="34"/>
      <c r="AR455" s="35"/>
      <c r="AS455" s="36"/>
    </row>
    <row r="456" spans="1:45" ht="57" x14ac:dyDescent="0.45">
      <c r="A456" s="1" t="s">
        <v>87</v>
      </c>
      <c r="B456" s="1" t="s">
        <v>86</v>
      </c>
      <c r="C456" s="1">
        <v>182</v>
      </c>
      <c r="D456" s="1">
        <v>444.44</v>
      </c>
      <c r="E456" s="1">
        <v>-1.3</v>
      </c>
      <c r="F456" s="1">
        <v>3.5</v>
      </c>
      <c r="G456" s="1">
        <v>3.6</v>
      </c>
      <c r="H456" s="1">
        <v>1.35</v>
      </c>
      <c r="I456" s="1">
        <v>3.29</v>
      </c>
      <c r="J456" s="1">
        <v>3.0992000000000002</v>
      </c>
      <c r="K456" s="1" t="s">
        <v>83</v>
      </c>
      <c r="N456" s="1">
        <v>13.98</v>
      </c>
      <c r="O456" s="1">
        <v>2.1000000000000001E-2</v>
      </c>
      <c r="P456" s="1">
        <v>7.45</v>
      </c>
      <c r="Q456" s="1">
        <v>40</v>
      </c>
      <c r="R456" s="1" t="s">
        <v>82</v>
      </c>
      <c r="S456" s="1">
        <v>238.11</v>
      </c>
      <c r="T456" s="1">
        <v>92</v>
      </c>
      <c r="U456" s="1">
        <v>2.08</v>
      </c>
      <c r="V456" s="1">
        <v>-6.26</v>
      </c>
      <c r="W456" s="1">
        <v>0.3</v>
      </c>
      <c r="X456" s="1">
        <f t="shared" si="62"/>
        <v>300</v>
      </c>
      <c r="Y456" s="1">
        <v>6.3</v>
      </c>
      <c r="Z456" s="1">
        <v>0.11</v>
      </c>
      <c r="AA456" s="1">
        <v>40.481802308893599</v>
      </c>
      <c r="AB456" s="1">
        <v>3.5</v>
      </c>
      <c r="AC456" s="1">
        <v>25</v>
      </c>
      <c r="AH456" s="1">
        <v>0.69933710077806199</v>
      </c>
      <c r="AJ456" s="1">
        <f>IF(ISNUMBER(AH456),1-AH456,"")</f>
        <v>0.30066289922193801</v>
      </c>
      <c r="AK456" s="1">
        <f>IF(AND(ISNUMBER(AJ456),AJ456&gt;0),LN(AJ456),"")</f>
        <v>-1.2017655779701035</v>
      </c>
      <c r="AM456">
        <v>60</v>
      </c>
      <c r="AN456">
        <f>IF(ISNUMBER(AJ456),IF(AJ456&gt;=0.05,1,0),"")</f>
        <v>1</v>
      </c>
      <c r="AO456">
        <f>IF(ISNUMBER(AJ456),IF(AJ456&lt;0.005,1,0),"")</f>
        <v>0</v>
      </c>
      <c r="AQ456" s="34"/>
      <c r="AR456" s="35"/>
      <c r="AS456" s="36"/>
    </row>
    <row r="457" spans="1:45" ht="57" x14ac:dyDescent="0.45">
      <c r="A457" s="1" t="s">
        <v>87</v>
      </c>
      <c r="B457" s="1" t="s">
        <v>86</v>
      </c>
      <c r="C457" s="1">
        <v>182</v>
      </c>
      <c r="D457" s="1">
        <v>444.44</v>
      </c>
      <c r="E457" s="1">
        <v>-1.3</v>
      </c>
      <c r="F457" s="1">
        <v>3.5</v>
      </c>
      <c r="G457" s="1">
        <v>3.6</v>
      </c>
      <c r="H457" s="1">
        <v>1.35</v>
      </c>
      <c r="I457" s="1">
        <v>3.29</v>
      </c>
      <c r="J457" s="1">
        <v>3.0992000000000002</v>
      </c>
      <c r="K457" s="1" t="s">
        <v>83</v>
      </c>
      <c r="N457" s="1">
        <v>13.98</v>
      </c>
      <c r="O457" s="1">
        <v>2.1000000000000001E-2</v>
      </c>
      <c r="P457" s="1">
        <v>7.45</v>
      </c>
      <c r="Q457" s="1">
        <v>40</v>
      </c>
      <c r="R457" s="1" t="s">
        <v>82</v>
      </c>
      <c r="S457" s="1">
        <v>238.11</v>
      </c>
      <c r="T457" s="1">
        <v>92</v>
      </c>
      <c r="U457" s="1">
        <v>2.08</v>
      </c>
      <c r="V457" s="1">
        <v>-6.26</v>
      </c>
      <c r="W457" s="1">
        <v>0.3</v>
      </c>
      <c r="X457" s="1">
        <f t="shared" si="62"/>
        <v>300</v>
      </c>
      <c r="Y457" s="1">
        <v>6.3</v>
      </c>
      <c r="Z457" s="1">
        <v>0.11</v>
      </c>
      <c r="AA457" s="1">
        <v>60.6510330781243</v>
      </c>
      <c r="AB457" s="1">
        <v>3.5</v>
      </c>
      <c r="AC457" s="1">
        <v>25</v>
      </c>
      <c r="AH457" s="1">
        <v>0.72233710077806201</v>
      </c>
      <c r="AJ457" s="1">
        <f>IF(ISNUMBER(AH457),1-AH457,"")</f>
        <v>0.27766289922193799</v>
      </c>
      <c r="AK457" s="1">
        <f>IF(AND(ISNUMBER(AJ457),AJ457&gt;0),LN(AJ457),"")</f>
        <v>-1.2813474938037679</v>
      </c>
      <c r="AM457">
        <v>60</v>
      </c>
      <c r="AN457">
        <f>IF(ISNUMBER(AJ457),IF(AJ457&gt;=0.05,1,0),"")</f>
        <v>1</v>
      </c>
      <c r="AO457">
        <f>IF(ISNUMBER(AJ457),IF(AJ457&lt;0.005,1,0),"")</f>
        <v>0</v>
      </c>
      <c r="AQ457" s="34"/>
      <c r="AR457" s="35"/>
      <c r="AS457" s="36"/>
    </row>
    <row r="458" spans="1:45" ht="57" x14ac:dyDescent="0.45">
      <c r="A458" s="1" t="s">
        <v>87</v>
      </c>
      <c r="B458" s="1" t="s">
        <v>86</v>
      </c>
      <c r="C458" s="1">
        <v>182</v>
      </c>
      <c r="D458" s="1">
        <v>444.44</v>
      </c>
      <c r="E458" s="1">
        <v>-1.3</v>
      </c>
      <c r="F458" s="1">
        <v>3.5</v>
      </c>
      <c r="G458" s="1">
        <v>3.6</v>
      </c>
      <c r="H458" s="1">
        <v>1.35</v>
      </c>
      <c r="I458" s="1">
        <v>3.29</v>
      </c>
      <c r="J458" s="1">
        <v>3.0992000000000002</v>
      </c>
      <c r="K458" s="1" t="s">
        <v>83</v>
      </c>
      <c r="N458" s="1">
        <v>13.98</v>
      </c>
      <c r="O458" s="1">
        <v>2.1000000000000001E-2</v>
      </c>
      <c r="P458" s="1">
        <v>7.45</v>
      </c>
      <c r="Q458" s="1">
        <v>40</v>
      </c>
      <c r="R458" s="1" t="s">
        <v>82</v>
      </c>
      <c r="S458" s="1">
        <v>238.11</v>
      </c>
      <c r="T458" s="1">
        <v>92</v>
      </c>
      <c r="U458" s="1">
        <v>2.08</v>
      </c>
      <c r="V458" s="1">
        <v>-6.26</v>
      </c>
      <c r="W458" s="1">
        <v>0.3</v>
      </c>
      <c r="X458" s="1">
        <f t="shared" si="62"/>
        <v>300</v>
      </c>
      <c r="Y458" s="1">
        <v>6.3</v>
      </c>
      <c r="Z458" s="1">
        <v>0.11</v>
      </c>
      <c r="AA458" s="1">
        <v>80.820263847355093</v>
      </c>
      <c r="AB458" s="1">
        <v>3.5</v>
      </c>
      <c r="AC458" s="1">
        <v>25</v>
      </c>
      <c r="AH458" s="1">
        <v>0.72693710077806206</v>
      </c>
      <c r="AJ458" s="1">
        <f>IF(ISNUMBER(AH458),1-AH458,"")</f>
        <v>0.27306289922193794</v>
      </c>
      <c r="AK458" s="1">
        <f>IF(AND(ISNUMBER(AJ458),AJ458&gt;0),LN(AJ458),"")</f>
        <v>-1.2980531102548409</v>
      </c>
      <c r="AM458">
        <v>60</v>
      </c>
      <c r="AN458">
        <f>IF(ISNUMBER(AJ458),IF(AJ458&gt;=0.05,1,0),"")</f>
        <v>1</v>
      </c>
      <c r="AO458">
        <f>IF(ISNUMBER(AJ458),IF(AJ458&lt;0.005,1,0),"")</f>
        <v>0</v>
      </c>
      <c r="AQ458" s="34"/>
      <c r="AR458" s="35"/>
      <c r="AS458" s="36"/>
    </row>
    <row r="459" spans="1:45" ht="57" x14ac:dyDescent="0.45">
      <c r="A459" s="1" t="s">
        <v>87</v>
      </c>
      <c r="B459" s="1" t="s">
        <v>86</v>
      </c>
      <c r="C459" s="1">
        <v>182</v>
      </c>
      <c r="D459" s="1">
        <v>444.44</v>
      </c>
      <c r="E459" s="1">
        <v>-1.3</v>
      </c>
      <c r="F459" s="1">
        <v>3.5</v>
      </c>
      <c r="G459" s="1">
        <v>3.6</v>
      </c>
      <c r="H459" s="1">
        <v>1.35</v>
      </c>
      <c r="I459" s="1">
        <v>3.29</v>
      </c>
      <c r="J459" s="1">
        <v>3.0992000000000002</v>
      </c>
      <c r="K459" s="1" t="s">
        <v>83</v>
      </c>
      <c r="N459" s="1">
        <v>13.98</v>
      </c>
      <c r="O459" s="1">
        <v>2.1000000000000001E-2</v>
      </c>
      <c r="P459" s="1">
        <v>7.45</v>
      </c>
      <c r="Q459" s="1">
        <v>40</v>
      </c>
      <c r="R459" s="1" t="s">
        <v>82</v>
      </c>
      <c r="S459" s="1">
        <v>238.11</v>
      </c>
      <c r="T459" s="1">
        <v>92</v>
      </c>
      <c r="U459" s="1">
        <v>2.08</v>
      </c>
      <c r="V459" s="1">
        <v>-6.26</v>
      </c>
      <c r="W459" s="1">
        <v>0.3</v>
      </c>
      <c r="X459" s="1">
        <f t="shared" si="62"/>
        <v>300</v>
      </c>
      <c r="Y459" s="1">
        <v>6.3</v>
      </c>
      <c r="Z459" s="1">
        <v>0.11</v>
      </c>
      <c r="AA459" s="1">
        <v>100.98949461658501</v>
      </c>
      <c r="AB459" s="1">
        <v>3.5</v>
      </c>
      <c r="AC459" s="1">
        <v>25</v>
      </c>
      <c r="AH459" s="1">
        <v>0.75453710077806202</v>
      </c>
      <c r="AJ459" s="1">
        <f>IF(ISNUMBER(AH459),1-AH459,"")</f>
        <v>0.24546289922193798</v>
      </c>
      <c r="AK459" s="1">
        <f>IF(AND(ISNUMBER(AJ459),AJ459&gt;0),LN(AJ459),"")</f>
        <v>-1.4046094665000712</v>
      </c>
      <c r="AM459">
        <v>60</v>
      </c>
      <c r="AN459">
        <f>IF(ISNUMBER(AJ459),IF(AJ459&gt;=0.05,1,0),"")</f>
        <v>1</v>
      </c>
      <c r="AO459">
        <f>IF(ISNUMBER(AJ459),IF(AJ459&lt;0.005,1,0),"")</f>
        <v>0</v>
      </c>
      <c r="AQ459" s="34"/>
      <c r="AR459" s="35"/>
      <c r="AS459" s="36"/>
    </row>
    <row r="460" spans="1:45" ht="57" x14ac:dyDescent="0.45">
      <c r="A460" s="1" t="s">
        <v>87</v>
      </c>
      <c r="B460" s="1" t="s">
        <v>86</v>
      </c>
      <c r="C460" s="1">
        <v>182</v>
      </c>
      <c r="D460" s="1">
        <v>444.44</v>
      </c>
      <c r="E460" s="1">
        <v>-1.3</v>
      </c>
      <c r="F460" s="1">
        <v>3.5</v>
      </c>
      <c r="G460" s="1">
        <v>3.6</v>
      </c>
      <c r="H460" s="1">
        <v>1.35</v>
      </c>
      <c r="I460" s="1">
        <v>3.29</v>
      </c>
      <c r="J460" s="1">
        <v>3.0992000000000002</v>
      </c>
      <c r="K460" s="1" t="s">
        <v>83</v>
      </c>
      <c r="N460" s="1">
        <v>13.98</v>
      </c>
      <c r="O460" s="1">
        <v>2.1000000000000001E-2</v>
      </c>
      <c r="P460" s="1">
        <v>7.45</v>
      </c>
      <c r="Q460" s="1">
        <v>40</v>
      </c>
      <c r="R460" s="1" t="s">
        <v>82</v>
      </c>
      <c r="S460" s="1">
        <v>238.11</v>
      </c>
      <c r="T460" s="1">
        <v>92</v>
      </c>
      <c r="U460" s="1">
        <v>2.08</v>
      </c>
      <c r="V460" s="1">
        <v>-6.26</v>
      </c>
      <c r="W460" s="1">
        <v>0.3</v>
      </c>
      <c r="X460" s="1">
        <f t="shared" si="62"/>
        <v>300</v>
      </c>
      <c r="Y460" s="1">
        <v>6.3</v>
      </c>
      <c r="Z460" s="1">
        <v>0.11</v>
      </c>
      <c r="AA460" s="1">
        <v>121.335648462739</v>
      </c>
      <c r="AB460" s="1">
        <v>3.5</v>
      </c>
      <c r="AC460" s="1">
        <v>25</v>
      </c>
      <c r="AH460" s="1">
        <v>0.77753710077806204</v>
      </c>
      <c r="AJ460" s="1">
        <f>IF(ISNUMBER(AH460),1-AH460,"")</f>
        <v>0.22246289922193796</v>
      </c>
      <c r="AK460" s="1">
        <f>IF(AND(ISNUMBER(AJ460),AJ460&gt;0),LN(AJ460),"")</f>
        <v>-1.5029949363492887</v>
      </c>
      <c r="AM460">
        <v>60</v>
      </c>
      <c r="AN460">
        <f>IF(ISNUMBER(AJ460),IF(AJ460&gt;=0.05,1,0),"")</f>
        <v>1</v>
      </c>
      <c r="AO460">
        <f>IF(ISNUMBER(AJ460),IF(AJ460&lt;0.005,1,0),"")</f>
        <v>0</v>
      </c>
      <c r="AQ460" s="34"/>
      <c r="AR460" s="35"/>
      <c r="AS460" s="36"/>
    </row>
    <row r="461" spans="1:45" ht="57" x14ac:dyDescent="0.45">
      <c r="A461" s="1" t="s">
        <v>88</v>
      </c>
      <c r="B461" s="1" t="s">
        <v>86</v>
      </c>
      <c r="C461" s="1">
        <v>182</v>
      </c>
      <c r="D461" s="1">
        <v>444.44</v>
      </c>
      <c r="E461" s="1">
        <v>-1.3</v>
      </c>
      <c r="F461" s="1">
        <v>3.5</v>
      </c>
      <c r="G461" s="1">
        <v>3.6</v>
      </c>
      <c r="H461" s="1">
        <v>1.35</v>
      </c>
      <c r="I461" s="1">
        <v>3.29</v>
      </c>
      <c r="J461" s="1">
        <v>3.0992000000000002</v>
      </c>
      <c r="K461" s="1" t="s">
        <v>83</v>
      </c>
      <c r="N461" s="1">
        <v>13.98</v>
      </c>
      <c r="O461" s="1">
        <v>2.1000000000000001E-2</v>
      </c>
      <c r="P461" s="1">
        <v>7.45</v>
      </c>
      <c r="Q461" s="1">
        <v>40</v>
      </c>
      <c r="R461" s="1" t="s">
        <v>82</v>
      </c>
      <c r="S461" s="1">
        <v>238.11</v>
      </c>
      <c r="T461" s="1">
        <v>92</v>
      </c>
      <c r="U461" s="1">
        <v>2.08</v>
      </c>
      <c r="V461" s="1">
        <v>-6.26</v>
      </c>
      <c r="W461" s="1">
        <v>0.3</v>
      </c>
      <c r="X461" s="1">
        <f t="shared" si="62"/>
        <v>300</v>
      </c>
      <c r="Y461" s="1">
        <v>1.26</v>
      </c>
      <c r="AA461" s="1">
        <v>0.39799999999996799</v>
      </c>
      <c r="AB461" s="1" t="s">
        <v>89</v>
      </c>
      <c r="AC461" s="1">
        <v>25</v>
      </c>
      <c r="AH461" s="1">
        <v>9.0478125000009735E-3</v>
      </c>
      <c r="AI461" s="1">
        <v>9.1242780925715611E-3</v>
      </c>
      <c r="AJ461" s="1">
        <f>IF(ISNUMBER(AH461),1-AH461,"")</f>
        <v>0.99095218749999903</v>
      </c>
      <c r="AK461" s="1">
        <f>IF(AND(ISNUMBER(AJ461),AJ461&gt;0),LN(AJ461),"")</f>
        <v>-9.0889925365448595E-3</v>
      </c>
      <c r="AM461">
        <v>61</v>
      </c>
      <c r="AN461">
        <f>IF(ISNUMBER(AJ461),IF(AJ461&gt;=0.05,1,0),"")</f>
        <v>1</v>
      </c>
      <c r="AO461">
        <f>IF(ISNUMBER(AJ461),IF(AJ461&lt;0.005,1,0),"")</f>
        <v>0</v>
      </c>
      <c r="AP461">
        <f>IFERROR(MATCH(0,AN461:AN468,0)-1,8)</f>
        <v>8</v>
      </c>
      <c r="AQ461" s="34">
        <f>IF(AP461&lt;3,"n&lt;3",IFERROR(-SLOPE(AK461:INDEX(AK461:AK468,AP461),AA461:INDEX(AA461:AA468,AP461)),"no fit"))</f>
        <v>6.999512058198331E-3</v>
      </c>
      <c r="AR461" s="35">
        <f>IF(AP461&lt;3,"",IFERROR(RSQ(AK461:INDEX(AK461:AK468,AP461),AA461:INDEX(AA461:AA468,AP461)),"flat"))</f>
        <v>0.67068963842099416</v>
      </c>
      <c r="AS461" s="36">
        <f>IFERROR(AQ461/AI461,"")</f>
        <v>0.76713050470227484</v>
      </c>
    </row>
    <row r="462" spans="1:45" ht="57" x14ac:dyDescent="0.45">
      <c r="A462" s="1" t="s">
        <v>88</v>
      </c>
      <c r="B462" s="1" t="s">
        <v>86</v>
      </c>
      <c r="C462" s="1">
        <v>182</v>
      </c>
      <c r="D462" s="1">
        <v>444.44</v>
      </c>
      <c r="E462" s="1">
        <v>-1.3</v>
      </c>
      <c r="F462" s="1">
        <v>3.5</v>
      </c>
      <c r="G462" s="1">
        <v>3.6</v>
      </c>
      <c r="H462" s="1">
        <v>1.35</v>
      </c>
      <c r="I462" s="1">
        <v>3.29</v>
      </c>
      <c r="J462" s="1">
        <v>3.0992000000000002</v>
      </c>
      <c r="K462" s="1" t="s">
        <v>83</v>
      </c>
      <c r="N462" s="1">
        <v>13.98</v>
      </c>
      <c r="O462" s="1">
        <v>2.1000000000000001E-2</v>
      </c>
      <c r="P462" s="1">
        <v>7.45</v>
      </c>
      <c r="Q462" s="1">
        <v>40</v>
      </c>
      <c r="R462" s="1" t="s">
        <v>82</v>
      </c>
      <c r="S462" s="1">
        <v>238.11</v>
      </c>
      <c r="T462" s="1">
        <v>92</v>
      </c>
      <c r="U462" s="1">
        <v>2.08</v>
      </c>
      <c r="V462" s="1">
        <v>-6.26</v>
      </c>
      <c r="W462" s="1">
        <v>0.3</v>
      </c>
      <c r="X462" s="1">
        <f t="shared" si="62"/>
        <v>300</v>
      </c>
      <c r="Y462" s="1">
        <v>1.26</v>
      </c>
      <c r="AA462" s="1">
        <v>9.8794780427512201</v>
      </c>
      <c r="AB462" s="1" t="s">
        <v>89</v>
      </c>
      <c r="AC462" s="1">
        <v>25</v>
      </c>
      <c r="AH462" s="1">
        <v>0.422938793714557</v>
      </c>
      <c r="AJ462" s="1">
        <f>IF(ISNUMBER(AH462),1-AH462,"")</f>
        <v>0.577061206285443</v>
      </c>
      <c r="AK462" s="1">
        <f>IF(AND(ISNUMBER(AJ462),AJ462&gt;0),LN(AJ462),"")</f>
        <v>-0.54980694134857722</v>
      </c>
      <c r="AM462">
        <v>61</v>
      </c>
      <c r="AN462">
        <f>IF(ISNUMBER(AJ462),IF(AJ462&gt;=0.05,1,0),"")</f>
        <v>1</v>
      </c>
      <c r="AO462">
        <f>IF(ISNUMBER(AJ462),IF(AJ462&lt;0.005,1,0),"")</f>
        <v>0</v>
      </c>
      <c r="AQ462" s="34"/>
      <c r="AR462" s="35"/>
      <c r="AS462" s="36"/>
    </row>
    <row r="463" spans="1:45" ht="57" x14ac:dyDescent="0.45">
      <c r="A463" s="1" t="s">
        <v>88</v>
      </c>
      <c r="B463" s="1" t="s">
        <v>86</v>
      </c>
      <c r="C463" s="1">
        <v>182</v>
      </c>
      <c r="D463" s="1">
        <v>444.44</v>
      </c>
      <c r="E463" s="1">
        <v>-1.3</v>
      </c>
      <c r="F463" s="1">
        <v>3.5</v>
      </c>
      <c r="G463" s="1">
        <v>3.6</v>
      </c>
      <c r="H463" s="1">
        <v>1.35</v>
      </c>
      <c r="I463" s="1">
        <v>3.29</v>
      </c>
      <c r="J463" s="1">
        <v>3.0992000000000002</v>
      </c>
      <c r="K463" s="1" t="s">
        <v>83</v>
      </c>
      <c r="N463" s="1">
        <v>13.98</v>
      </c>
      <c r="O463" s="1">
        <v>2.1000000000000001E-2</v>
      </c>
      <c r="P463" s="1">
        <v>7.45</v>
      </c>
      <c r="Q463" s="1">
        <v>40</v>
      </c>
      <c r="R463" s="1" t="s">
        <v>82</v>
      </c>
      <c r="S463" s="1">
        <v>238.11</v>
      </c>
      <c r="T463" s="1">
        <v>92</v>
      </c>
      <c r="U463" s="1">
        <v>2.08</v>
      </c>
      <c r="V463" s="1">
        <v>-6.26</v>
      </c>
      <c r="W463" s="1">
        <v>0.3</v>
      </c>
      <c r="X463" s="1">
        <f t="shared" si="62"/>
        <v>300</v>
      </c>
      <c r="Y463" s="1">
        <v>1.26</v>
      </c>
      <c r="AA463" s="1">
        <v>20.000170205031299</v>
      </c>
      <c r="AB463" s="1" t="s">
        <v>89</v>
      </c>
      <c r="AC463" s="1">
        <v>25</v>
      </c>
      <c r="AH463" s="1">
        <v>0.52974408672022799</v>
      </c>
      <c r="AJ463" s="1">
        <f>IF(ISNUMBER(AH463),1-AH463,"")</f>
        <v>0.47025591327977201</v>
      </c>
      <c r="AK463" s="1">
        <f>IF(AND(ISNUMBER(AJ463),AJ463&gt;0),LN(AJ463),"")</f>
        <v>-0.75447823612243636</v>
      </c>
      <c r="AM463">
        <v>61</v>
      </c>
      <c r="AN463">
        <f>IF(ISNUMBER(AJ463),IF(AJ463&gt;=0.05,1,0),"")</f>
        <v>1</v>
      </c>
      <c r="AO463">
        <f>IF(ISNUMBER(AJ463),IF(AJ463&lt;0.005,1,0),"")</f>
        <v>0</v>
      </c>
      <c r="AQ463" s="34"/>
      <c r="AR463" s="35"/>
      <c r="AS463" s="36"/>
    </row>
    <row r="464" spans="1:45" ht="57" x14ac:dyDescent="0.45">
      <c r="A464" s="1" t="s">
        <v>88</v>
      </c>
      <c r="B464" s="1" t="s">
        <v>86</v>
      </c>
      <c r="C464" s="1">
        <v>182</v>
      </c>
      <c r="D464" s="1">
        <v>444.44</v>
      </c>
      <c r="E464" s="1">
        <v>-1.3</v>
      </c>
      <c r="F464" s="1">
        <v>3.5</v>
      </c>
      <c r="G464" s="1">
        <v>3.6</v>
      </c>
      <c r="H464" s="1">
        <v>1.35</v>
      </c>
      <c r="I464" s="1">
        <v>3.29</v>
      </c>
      <c r="J464" s="1">
        <v>3.0992000000000002</v>
      </c>
      <c r="K464" s="1" t="s">
        <v>83</v>
      </c>
      <c r="N464" s="1">
        <v>13.98</v>
      </c>
      <c r="O464" s="1">
        <v>2.1000000000000001E-2</v>
      </c>
      <c r="P464" s="1">
        <v>7.45</v>
      </c>
      <c r="Q464" s="1">
        <v>40</v>
      </c>
      <c r="R464" s="1" t="s">
        <v>82</v>
      </c>
      <c r="S464" s="1">
        <v>238.11</v>
      </c>
      <c r="T464" s="1">
        <v>92</v>
      </c>
      <c r="U464" s="1">
        <v>2.08</v>
      </c>
      <c r="V464" s="1">
        <v>-6.26</v>
      </c>
      <c r="W464" s="1">
        <v>0.3</v>
      </c>
      <c r="X464" s="1">
        <f t="shared" si="62"/>
        <v>300</v>
      </c>
      <c r="Y464" s="1">
        <v>1.26</v>
      </c>
      <c r="AA464" s="1">
        <v>39.659905554747702</v>
      </c>
      <c r="AB464" s="1" t="s">
        <v>89</v>
      </c>
      <c r="AC464" s="1">
        <v>25</v>
      </c>
      <c r="AH464" s="1">
        <v>0.59968737594517996</v>
      </c>
      <c r="AJ464" s="1">
        <f>IF(ISNUMBER(AH464),1-AH464,"")</f>
        <v>0.40031262405482004</v>
      </c>
      <c r="AK464" s="1">
        <f>IF(AND(ISNUMBER(AJ464),AJ464&gt;0),LN(AJ464),"")</f>
        <v>-0.91550947699618701</v>
      </c>
      <c r="AM464">
        <v>61</v>
      </c>
      <c r="AN464">
        <f>IF(ISNUMBER(AJ464),IF(AJ464&gt;=0.05,1,0),"")</f>
        <v>1</v>
      </c>
      <c r="AO464">
        <f>IF(ISNUMBER(AJ464),IF(AJ464&lt;0.005,1,0),"")</f>
        <v>0</v>
      </c>
      <c r="AQ464" s="34"/>
      <c r="AR464" s="35"/>
      <c r="AS464" s="36"/>
    </row>
    <row r="465" spans="1:45" ht="57" x14ac:dyDescent="0.45">
      <c r="A465" s="1" t="s">
        <v>88</v>
      </c>
      <c r="B465" s="1" t="s">
        <v>86</v>
      </c>
      <c r="C465" s="1">
        <v>182</v>
      </c>
      <c r="D465" s="1">
        <v>444.44</v>
      </c>
      <c r="E465" s="1">
        <v>-1.3</v>
      </c>
      <c r="F465" s="1">
        <v>3.5</v>
      </c>
      <c r="G465" s="1">
        <v>3.6</v>
      </c>
      <c r="H465" s="1">
        <v>1.35</v>
      </c>
      <c r="I465" s="1">
        <v>3.29</v>
      </c>
      <c r="J465" s="1">
        <v>3.0992000000000002</v>
      </c>
      <c r="K465" s="1" t="s">
        <v>83</v>
      </c>
      <c r="N465" s="1">
        <v>13.98</v>
      </c>
      <c r="O465" s="1">
        <v>2.1000000000000001E-2</v>
      </c>
      <c r="P465" s="1">
        <v>7.45</v>
      </c>
      <c r="Q465" s="1">
        <v>40</v>
      </c>
      <c r="R465" s="1" t="s">
        <v>82</v>
      </c>
      <c r="S465" s="1">
        <v>238.11</v>
      </c>
      <c r="T465" s="1">
        <v>92</v>
      </c>
      <c r="U465" s="1">
        <v>2.08</v>
      </c>
      <c r="V465" s="1">
        <v>-6.26</v>
      </c>
      <c r="W465" s="1">
        <v>0.3</v>
      </c>
      <c r="X465" s="1">
        <f t="shared" si="62"/>
        <v>300</v>
      </c>
      <c r="Y465" s="1">
        <v>1.26</v>
      </c>
      <c r="AA465" s="1">
        <v>59.668630289370398</v>
      </c>
      <c r="AB465" s="1" t="s">
        <v>89</v>
      </c>
      <c r="AC465" s="1">
        <v>25</v>
      </c>
      <c r="AH465" s="1">
        <v>0.62993312263705192</v>
      </c>
      <c r="AJ465" s="1">
        <f>IF(ISNUMBER(AH465),1-AH465,"")</f>
        <v>0.37006687736294808</v>
      </c>
      <c r="AK465" s="1">
        <f>IF(AND(ISNUMBER(AJ465),AJ465&gt;0),LN(AJ465),"")</f>
        <v>-0.99407154004752374</v>
      </c>
      <c r="AM465">
        <v>61</v>
      </c>
      <c r="AN465">
        <f>IF(ISNUMBER(AJ465),IF(AJ465&gt;=0.05,1,0),"")</f>
        <v>1</v>
      </c>
      <c r="AO465">
        <f>IF(ISNUMBER(AJ465),IF(AJ465&lt;0.005,1,0),"")</f>
        <v>0</v>
      </c>
      <c r="AQ465" s="34"/>
      <c r="AR465" s="35"/>
      <c r="AS465" s="36"/>
    </row>
    <row r="466" spans="1:45" ht="57" x14ac:dyDescent="0.45">
      <c r="A466" s="1" t="s">
        <v>88</v>
      </c>
      <c r="B466" s="1" t="s">
        <v>86</v>
      </c>
      <c r="C466" s="1">
        <v>182</v>
      </c>
      <c r="D466" s="1">
        <v>444.44</v>
      </c>
      <c r="E466" s="1">
        <v>-1.3</v>
      </c>
      <c r="F466" s="1">
        <v>3.5</v>
      </c>
      <c r="G466" s="1">
        <v>3.6</v>
      </c>
      <c r="H466" s="1">
        <v>1.35</v>
      </c>
      <c r="I466" s="1">
        <v>3.29</v>
      </c>
      <c r="J466" s="1">
        <v>3.0992000000000002</v>
      </c>
      <c r="K466" s="1" t="s">
        <v>83</v>
      </c>
      <c r="N466" s="1">
        <v>13.98</v>
      </c>
      <c r="O466" s="1">
        <v>2.1000000000000001E-2</v>
      </c>
      <c r="P466" s="1">
        <v>7.45</v>
      </c>
      <c r="Q466" s="1">
        <v>40</v>
      </c>
      <c r="R466" s="1" t="s">
        <v>82</v>
      </c>
      <c r="S466" s="1">
        <v>238.11</v>
      </c>
      <c r="T466" s="1">
        <v>92</v>
      </c>
      <c r="U466" s="1">
        <v>2.08</v>
      </c>
      <c r="V466" s="1">
        <v>-6.26</v>
      </c>
      <c r="W466" s="1">
        <v>0.3</v>
      </c>
      <c r="X466" s="1">
        <f t="shared" si="62"/>
        <v>300</v>
      </c>
      <c r="Y466" s="1">
        <v>1.26</v>
      </c>
      <c r="AA466" s="1">
        <v>79.561025229024295</v>
      </c>
      <c r="AB466" s="1" t="s">
        <v>89</v>
      </c>
      <c r="AC466" s="1">
        <v>25</v>
      </c>
      <c r="AH466" s="1">
        <v>0.65072707348771308</v>
      </c>
      <c r="AJ466" s="1">
        <f>IF(ISNUMBER(AH466),1-AH466,"")</f>
        <v>0.34927292651228692</v>
      </c>
      <c r="AK466" s="1">
        <f>IF(AND(ISNUMBER(AJ466),AJ466&gt;0),LN(AJ466),"")</f>
        <v>-1.0519016380109512</v>
      </c>
      <c r="AM466">
        <v>61</v>
      </c>
      <c r="AN466">
        <f>IF(ISNUMBER(AJ466),IF(AJ466&gt;=0.05,1,0),"")</f>
        <v>1</v>
      </c>
      <c r="AO466">
        <f>IF(ISNUMBER(AJ466),IF(AJ466&lt;0.005,1,0),"")</f>
        <v>0</v>
      </c>
      <c r="AQ466" s="34"/>
      <c r="AR466" s="35"/>
      <c r="AS466" s="36"/>
    </row>
    <row r="467" spans="1:45" ht="57" x14ac:dyDescent="0.45">
      <c r="A467" s="1" t="s">
        <v>88</v>
      </c>
      <c r="B467" s="1" t="s">
        <v>86</v>
      </c>
      <c r="C467" s="1">
        <v>182</v>
      </c>
      <c r="D467" s="1">
        <v>444.44</v>
      </c>
      <c r="E467" s="1">
        <v>-1.3</v>
      </c>
      <c r="F467" s="1">
        <v>3.5</v>
      </c>
      <c r="G467" s="1">
        <v>3.6</v>
      </c>
      <c r="H467" s="1">
        <v>1.35</v>
      </c>
      <c r="I467" s="1">
        <v>3.29</v>
      </c>
      <c r="J467" s="1">
        <v>3.0992000000000002</v>
      </c>
      <c r="K467" s="1" t="s">
        <v>83</v>
      </c>
      <c r="N467" s="1">
        <v>13.98</v>
      </c>
      <c r="O467" s="1">
        <v>2.1000000000000001E-2</v>
      </c>
      <c r="P467" s="1">
        <v>7.45</v>
      </c>
      <c r="Q467" s="1">
        <v>40</v>
      </c>
      <c r="R467" s="1" t="s">
        <v>82</v>
      </c>
      <c r="S467" s="1">
        <v>238.11</v>
      </c>
      <c r="T467" s="1">
        <v>92</v>
      </c>
      <c r="U467" s="1">
        <v>2.08</v>
      </c>
      <c r="V467" s="1">
        <v>-6.26</v>
      </c>
      <c r="W467" s="1">
        <v>0.3</v>
      </c>
      <c r="X467" s="1">
        <f t="shared" si="62"/>
        <v>300</v>
      </c>
      <c r="Y467" s="1">
        <v>1.26</v>
      </c>
      <c r="AA467" s="1">
        <v>99.569749963646998</v>
      </c>
      <c r="AB467" s="1" t="s">
        <v>89</v>
      </c>
      <c r="AC467" s="1">
        <v>25</v>
      </c>
      <c r="AH467" s="1">
        <v>0.65734333057656003</v>
      </c>
      <c r="AJ467" s="1">
        <f>IF(ISNUMBER(AH467),1-AH467,"")</f>
        <v>0.34265666942343997</v>
      </c>
      <c r="AK467" s="1">
        <f>IF(AND(ISNUMBER(AJ467),AJ467&gt;0),LN(AJ467),"")</f>
        <v>-1.0710262968950492</v>
      </c>
      <c r="AM467">
        <v>61</v>
      </c>
      <c r="AN467">
        <f>IF(ISNUMBER(AJ467),IF(AJ467&gt;=0.05,1,0),"")</f>
        <v>1</v>
      </c>
      <c r="AO467">
        <f>IF(ISNUMBER(AJ467),IF(AJ467&lt;0.005,1,0),"")</f>
        <v>0</v>
      </c>
      <c r="AQ467" s="34"/>
      <c r="AR467" s="35"/>
      <c r="AS467" s="36"/>
    </row>
    <row r="468" spans="1:45" ht="57" x14ac:dyDescent="0.45">
      <c r="A468" s="1" t="s">
        <v>88</v>
      </c>
      <c r="B468" s="1" t="s">
        <v>86</v>
      </c>
      <c r="C468" s="1">
        <v>182</v>
      </c>
      <c r="D468" s="1">
        <v>444.44</v>
      </c>
      <c r="E468" s="1">
        <v>-1.3</v>
      </c>
      <c r="F468" s="1">
        <v>3.5</v>
      </c>
      <c r="G468" s="1">
        <v>3.6</v>
      </c>
      <c r="H468" s="1">
        <v>1.35</v>
      </c>
      <c r="I468" s="1">
        <v>3.29</v>
      </c>
      <c r="J468" s="1">
        <v>3.0992000000000002</v>
      </c>
      <c r="K468" s="1" t="s">
        <v>83</v>
      </c>
      <c r="N468" s="1">
        <v>13.98</v>
      </c>
      <c r="O468" s="1">
        <v>2.1000000000000001E-2</v>
      </c>
      <c r="P468" s="1">
        <v>7.45</v>
      </c>
      <c r="Q468" s="1">
        <v>40</v>
      </c>
      <c r="R468" s="1" t="s">
        <v>82</v>
      </c>
      <c r="S468" s="1">
        <v>238.11</v>
      </c>
      <c r="T468" s="1">
        <v>92</v>
      </c>
      <c r="U468" s="1">
        <v>2.08</v>
      </c>
      <c r="V468" s="1">
        <v>-6.26</v>
      </c>
      <c r="W468" s="1">
        <v>0.3</v>
      </c>
      <c r="X468" s="1">
        <f t="shared" si="62"/>
        <v>300</v>
      </c>
      <c r="Y468" s="1">
        <v>1.26</v>
      </c>
      <c r="AA468" s="1">
        <v>119.229485313363</v>
      </c>
      <c r="AB468" s="1" t="s">
        <v>89</v>
      </c>
      <c r="AC468" s="1">
        <v>25</v>
      </c>
      <c r="AH468" s="1">
        <v>0.66490476724952807</v>
      </c>
      <c r="AJ468" s="1">
        <f>IF(ISNUMBER(AH468),1-AH468,"")</f>
        <v>0.33509523275047193</v>
      </c>
      <c r="AK468" s="1">
        <f>IF(AND(ISNUMBER(AJ468),AJ468&gt;0),LN(AJ468),"")</f>
        <v>-1.0933405106890026</v>
      </c>
      <c r="AM468">
        <v>61</v>
      </c>
      <c r="AN468">
        <f>IF(ISNUMBER(AJ468),IF(AJ468&gt;=0.05,1,0),"")</f>
        <v>1</v>
      </c>
      <c r="AO468">
        <f>IF(ISNUMBER(AJ468),IF(AJ468&lt;0.005,1,0),"")</f>
        <v>0</v>
      </c>
      <c r="AQ468" s="34"/>
      <c r="AR468" s="35"/>
      <c r="AS468" s="36"/>
    </row>
    <row r="469" spans="1:45" ht="57" x14ac:dyDescent="0.45">
      <c r="A469" s="1" t="s">
        <v>88</v>
      </c>
      <c r="B469" s="1" t="s">
        <v>86</v>
      </c>
      <c r="C469" s="1">
        <v>182</v>
      </c>
      <c r="D469" s="1">
        <v>444.44</v>
      </c>
      <c r="E469" s="1">
        <v>-1.3</v>
      </c>
      <c r="F469" s="1">
        <v>3.5</v>
      </c>
      <c r="G469" s="1">
        <v>3.6</v>
      </c>
      <c r="H469" s="1">
        <v>1.35</v>
      </c>
      <c r="I469" s="1">
        <v>3.29</v>
      </c>
      <c r="J469" s="1">
        <v>3.0992000000000002</v>
      </c>
      <c r="K469" s="1" t="s">
        <v>83</v>
      </c>
      <c r="N469" s="1">
        <v>13.98</v>
      </c>
      <c r="O469" s="1">
        <v>2.1000000000000001E-2</v>
      </c>
      <c r="P469" s="1">
        <v>7.45</v>
      </c>
      <c r="Q469" s="1">
        <v>40</v>
      </c>
      <c r="R469" s="1" t="s">
        <v>82</v>
      </c>
      <c r="S469" s="1">
        <v>238.11</v>
      </c>
      <c r="T469" s="1">
        <v>92</v>
      </c>
      <c r="U469" s="1">
        <v>2.08</v>
      </c>
      <c r="V469" s="1">
        <v>-6.26</v>
      </c>
      <c r="W469" s="1">
        <v>0.3</v>
      </c>
      <c r="X469" s="1">
        <f t="shared" si="62"/>
        <v>300</v>
      </c>
      <c r="Y469" s="1">
        <v>3.15</v>
      </c>
      <c r="AA469" s="1">
        <v>0.205823242329506</v>
      </c>
      <c r="AB469" s="1" t="s">
        <v>89</v>
      </c>
      <c r="AC469" s="1">
        <v>25</v>
      </c>
      <c r="AH469" s="1">
        <v>9.3919140772690257E-3</v>
      </c>
      <c r="AI469" s="1">
        <v>1.0756832271203342E-2</v>
      </c>
      <c r="AJ469" s="1">
        <f>IF(ISNUMBER(AH469),1-AH469,"")</f>
        <v>0.99060808592273097</v>
      </c>
      <c r="AK469" s="1">
        <f>IF(AND(ISNUMBER(AJ469),AJ469&gt;0),LN(AJ469),"")</f>
        <v>-9.4362962096574392E-3</v>
      </c>
      <c r="AM469">
        <v>62</v>
      </c>
      <c r="AN469">
        <f>IF(ISNUMBER(AJ469),IF(AJ469&gt;=0.05,1,0),"")</f>
        <v>1</v>
      </c>
      <c r="AO469">
        <f>IF(ISNUMBER(AJ469),IF(AJ469&lt;0.005,1,0),"")</f>
        <v>0</v>
      </c>
      <c r="AP469">
        <f>IFERROR(MATCH(0,AN469:AN476,0)-1,8)</f>
        <v>8</v>
      </c>
      <c r="AQ469" s="34">
        <f>IF(AP469&lt;3,"n&lt;3",IFERROR(-SLOPE(AK469:INDEX(AK469:AK476,AP469),AA469:INDEX(AA469:AA476,AP469)),"no fit"))</f>
        <v>8.1995402195951268E-3</v>
      </c>
      <c r="AR469" s="35">
        <f>IF(AP469&lt;3,"",IFERROR(RSQ(AK469:INDEX(AK469:AK476,AP469),AA469:INDEX(AA469:AA476,AP469)),"flat"))</f>
        <v>0.69970161368444739</v>
      </c>
      <c r="AS469" s="36">
        <f>IFERROR(AQ469/AI469,"")</f>
        <v>0.76226346315222993</v>
      </c>
    </row>
    <row r="470" spans="1:45" ht="57" x14ac:dyDescent="0.45">
      <c r="A470" s="1" t="s">
        <v>88</v>
      </c>
      <c r="B470" s="1" t="s">
        <v>86</v>
      </c>
      <c r="C470" s="1">
        <v>182</v>
      </c>
      <c r="D470" s="1">
        <v>444.44</v>
      </c>
      <c r="E470" s="1">
        <v>-1.3</v>
      </c>
      <c r="F470" s="1">
        <v>3.5</v>
      </c>
      <c r="G470" s="1">
        <v>3.6</v>
      </c>
      <c r="H470" s="1">
        <v>1.35</v>
      </c>
      <c r="I470" s="1">
        <v>3.29</v>
      </c>
      <c r="J470" s="1">
        <v>3.0992000000000002</v>
      </c>
      <c r="K470" s="1" t="s">
        <v>83</v>
      </c>
      <c r="N470" s="1">
        <v>13.98</v>
      </c>
      <c r="O470" s="1">
        <v>2.1000000000000001E-2</v>
      </c>
      <c r="P470" s="1">
        <v>7.45</v>
      </c>
      <c r="Q470" s="1">
        <v>40</v>
      </c>
      <c r="R470" s="1" t="s">
        <v>82</v>
      </c>
      <c r="S470" s="1">
        <v>238.11</v>
      </c>
      <c r="T470" s="1">
        <v>92</v>
      </c>
      <c r="U470" s="1">
        <v>2.08</v>
      </c>
      <c r="V470" s="1">
        <v>-6.26</v>
      </c>
      <c r="W470" s="1">
        <v>0.3</v>
      </c>
      <c r="X470" s="1">
        <f t="shared" si="62"/>
        <v>300</v>
      </c>
      <c r="Y470" s="1">
        <v>3.15</v>
      </c>
      <c r="AA470" s="1">
        <v>10.018423076923</v>
      </c>
      <c r="AB470" s="1" t="s">
        <v>89</v>
      </c>
      <c r="AC470" s="1">
        <v>25</v>
      </c>
      <c r="AH470" s="1">
        <v>0.47767499999999996</v>
      </c>
      <c r="AJ470" s="1">
        <f>IF(ISNUMBER(AH470),1-AH470,"")</f>
        <v>0.52232500000000004</v>
      </c>
      <c r="AK470" s="1">
        <f>IF(AND(ISNUMBER(AJ470),AJ470&gt;0),LN(AJ470),"")</f>
        <v>-0.64946527947382238</v>
      </c>
      <c r="AM470">
        <v>62</v>
      </c>
      <c r="AN470">
        <f>IF(ISNUMBER(AJ470),IF(AJ470&gt;=0.05,1,0),"")</f>
        <v>1</v>
      </c>
      <c r="AO470">
        <f>IF(ISNUMBER(AJ470),IF(AJ470&lt;0.005,1,0),"")</f>
        <v>0</v>
      </c>
      <c r="AQ470" s="34"/>
      <c r="AR470" s="35"/>
      <c r="AS470" s="36"/>
    </row>
    <row r="471" spans="1:45" ht="57" x14ac:dyDescent="0.45">
      <c r="A471" s="1" t="s">
        <v>88</v>
      </c>
      <c r="B471" s="1" t="s">
        <v>86</v>
      </c>
      <c r="C471" s="1">
        <v>182</v>
      </c>
      <c r="D471" s="1">
        <v>444.44</v>
      </c>
      <c r="E471" s="1">
        <v>-1.3</v>
      </c>
      <c r="F471" s="1">
        <v>3.5</v>
      </c>
      <c r="G471" s="1">
        <v>3.6</v>
      </c>
      <c r="H471" s="1">
        <v>1.35</v>
      </c>
      <c r="I471" s="1">
        <v>3.29</v>
      </c>
      <c r="J471" s="1">
        <v>3.0992000000000002</v>
      </c>
      <c r="K471" s="1" t="s">
        <v>83</v>
      </c>
      <c r="N471" s="1">
        <v>13.98</v>
      </c>
      <c r="O471" s="1">
        <v>2.1000000000000001E-2</v>
      </c>
      <c r="P471" s="1">
        <v>7.45</v>
      </c>
      <c r="Q471" s="1">
        <v>40</v>
      </c>
      <c r="R471" s="1" t="s">
        <v>82</v>
      </c>
      <c r="S471" s="1">
        <v>238.11</v>
      </c>
      <c r="T471" s="1">
        <v>92</v>
      </c>
      <c r="U471" s="1">
        <v>2.08</v>
      </c>
      <c r="V471" s="1">
        <v>-6.26</v>
      </c>
      <c r="W471" s="1">
        <v>0.3</v>
      </c>
      <c r="X471" s="1">
        <f t="shared" si="62"/>
        <v>300</v>
      </c>
      <c r="Y471" s="1">
        <v>3.15</v>
      </c>
      <c r="AA471" s="1">
        <v>20.018423076923099</v>
      </c>
      <c r="AB471" s="1" t="s">
        <v>89</v>
      </c>
      <c r="AC471" s="1">
        <v>25</v>
      </c>
      <c r="AH471" s="1">
        <v>0.56892500000000001</v>
      </c>
      <c r="AJ471" s="1">
        <f>IF(ISNUMBER(AH471),1-AH471,"")</f>
        <v>0.43107499999999999</v>
      </c>
      <c r="AK471" s="1">
        <f>IF(AND(ISNUMBER(AJ471),AJ471&gt;0),LN(AJ471),"")</f>
        <v>-0.84147319009594179</v>
      </c>
      <c r="AM471">
        <v>62</v>
      </c>
      <c r="AN471">
        <f>IF(ISNUMBER(AJ471),IF(AJ471&gt;=0.05,1,0),"")</f>
        <v>1</v>
      </c>
      <c r="AO471">
        <f>IF(ISNUMBER(AJ471),IF(AJ471&lt;0.005,1,0),"")</f>
        <v>0</v>
      </c>
      <c r="AQ471" s="34"/>
      <c r="AR471" s="35"/>
      <c r="AS471" s="36"/>
    </row>
    <row r="472" spans="1:45" ht="57" x14ac:dyDescent="0.45">
      <c r="A472" s="1" t="s">
        <v>88</v>
      </c>
      <c r="B472" s="1" t="s">
        <v>86</v>
      </c>
      <c r="C472" s="1">
        <v>182</v>
      </c>
      <c r="D472" s="1">
        <v>444.44</v>
      </c>
      <c r="E472" s="1">
        <v>-1.3</v>
      </c>
      <c r="F472" s="1">
        <v>3.5</v>
      </c>
      <c r="G472" s="1">
        <v>3.6</v>
      </c>
      <c r="H472" s="1">
        <v>1.35</v>
      </c>
      <c r="I472" s="1">
        <v>3.29</v>
      </c>
      <c r="J472" s="1">
        <v>3.0992000000000002</v>
      </c>
      <c r="K472" s="1" t="s">
        <v>83</v>
      </c>
      <c r="N472" s="1">
        <v>13.98</v>
      </c>
      <c r="O472" s="1">
        <v>2.1000000000000001E-2</v>
      </c>
      <c r="P472" s="1">
        <v>7.45</v>
      </c>
      <c r="Q472" s="1">
        <v>40</v>
      </c>
      <c r="R472" s="1" t="s">
        <v>82</v>
      </c>
      <c r="S472" s="1">
        <v>238.11</v>
      </c>
      <c r="T472" s="1">
        <v>92</v>
      </c>
      <c r="U472" s="1">
        <v>2.08</v>
      </c>
      <c r="V472" s="1">
        <v>-6.26</v>
      </c>
      <c r="W472" s="1">
        <v>0.3</v>
      </c>
      <c r="X472" s="1">
        <f t="shared" si="62"/>
        <v>300</v>
      </c>
      <c r="Y472" s="1">
        <v>3.15</v>
      </c>
      <c r="AA472" s="1">
        <v>39.543575759779003</v>
      </c>
      <c r="AB472" s="1" t="s">
        <v>89</v>
      </c>
      <c r="AC472" s="1">
        <v>25</v>
      </c>
      <c r="AH472" s="1">
        <v>0.64505599598298702</v>
      </c>
      <c r="AJ472" s="1">
        <f>IF(ISNUMBER(AH472),1-AH472,"")</f>
        <v>0.35494400401701298</v>
      </c>
      <c r="AK472" s="1">
        <f>IF(AND(ISNUMBER(AJ472),AJ472&gt;0),LN(AJ472),"")</f>
        <v>-1.0357952371115642</v>
      </c>
      <c r="AM472">
        <v>62</v>
      </c>
      <c r="AN472">
        <f>IF(ISNUMBER(AJ472),IF(AJ472&gt;=0.05,1,0),"")</f>
        <v>1</v>
      </c>
      <c r="AO472">
        <f>IF(ISNUMBER(AJ472),IF(AJ472&lt;0.005,1,0),"")</f>
        <v>0</v>
      </c>
      <c r="AQ472" s="34"/>
      <c r="AR472" s="35"/>
      <c r="AS472" s="36"/>
    </row>
    <row r="473" spans="1:45" ht="57" x14ac:dyDescent="0.45">
      <c r="A473" s="1" t="s">
        <v>88</v>
      </c>
      <c r="B473" s="1" t="s">
        <v>86</v>
      </c>
      <c r="C473" s="1">
        <v>182</v>
      </c>
      <c r="D473" s="1">
        <v>444.44</v>
      </c>
      <c r="E473" s="1">
        <v>-1.3</v>
      </c>
      <c r="F473" s="1">
        <v>3.5</v>
      </c>
      <c r="G473" s="1">
        <v>3.6</v>
      </c>
      <c r="H473" s="1">
        <v>1.35</v>
      </c>
      <c r="I473" s="1">
        <v>3.29</v>
      </c>
      <c r="J473" s="1">
        <v>3.0992000000000002</v>
      </c>
      <c r="K473" s="1" t="s">
        <v>83</v>
      </c>
      <c r="N473" s="1">
        <v>13.98</v>
      </c>
      <c r="O473" s="1">
        <v>2.1000000000000001E-2</v>
      </c>
      <c r="P473" s="1">
        <v>7.45</v>
      </c>
      <c r="Q473" s="1">
        <v>40</v>
      </c>
      <c r="R473" s="1" t="s">
        <v>82</v>
      </c>
      <c r="S473" s="1">
        <v>238.11</v>
      </c>
      <c r="T473" s="1">
        <v>92</v>
      </c>
      <c r="U473" s="1">
        <v>2.08</v>
      </c>
      <c r="V473" s="1">
        <v>-6.26</v>
      </c>
      <c r="W473" s="1">
        <v>0.3</v>
      </c>
      <c r="X473" s="1">
        <f t="shared" si="62"/>
        <v>300</v>
      </c>
      <c r="Y473" s="1">
        <v>3.15</v>
      </c>
      <c r="AA473" s="1">
        <v>59.864576923076903</v>
      </c>
      <c r="AB473" s="1" t="s">
        <v>89</v>
      </c>
      <c r="AC473" s="1">
        <v>25</v>
      </c>
      <c r="AH473" s="1">
        <v>0.67517500000000008</v>
      </c>
      <c r="AJ473" s="1">
        <f>IF(ISNUMBER(AH473),1-AH473,"")</f>
        <v>0.32482499999999992</v>
      </c>
      <c r="AK473" s="1">
        <f>IF(AND(ISNUMBER(AJ473),AJ473&gt;0),LN(AJ473),"")</f>
        <v>-1.1244687032133371</v>
      </c>
      <c r="AM473">
        <v>62</v>
      </c>
      <c r="AN473">
        <f>IF(ISNUMBER(AJ473),IF(AJ473&gt;=0.05,1,0),"")</f>
        <v>1</v>
      </c>
      <c r="AO473">
        <f>IF(ISNUMBER(AJ473),IF(AJ473&lt;0.005,1,0),"")</f>
        <v>0</v>
      </c>
      <c r="AQ473" s="34"/>
      <c r="AR473" s="35"/>
      <c r="AS473" s="36"/>
    </row>
    <row r="474" spans="1:45" ht="57" x14ac:dyDescent="0.45">
      <c r="A474" s="1" t="s">
        <v>88</v>
      </c>
      <c r="B474" s="1" t="s">
        <v>86</v>
      </c>
      <c r="C474" s="1">
        <v>182</v>
      </c>
      <c r="D474" s="1">
        <v>444.44</v>
      </c>
      <c r="E474" s="1">
        <v>-1.3</v>
      </c>
      <c r="F474" s="1">
        <v>3.5</v>
      </c>
      <c r="G474" s="1">
        <v>3.6</v>
      </c>
      <c r="H474" s="1">
        <v>1.35</v>
      </c>
      <c r="I474" s="1">
        <v>3.29</v>
      </c>
      <c r="J474" s="1">
        <v>3.0992000000000002</v>
      </c>
      <c r="K474" s="1" t="s">
        <v>83</v>
      </c>
      <c r="N474" s="1">
        <v>13.98</v>
      </c>
      <c r="O474" s="1">
        <v>2.1000000000000001E-2</v>
      </c>
      <c r="P474" s="1">
        <v>7.45</v>
      </c>
      <c r="Q474" s="1">
        <v>40</v>
      </c>
      <c r="R474" s="1" t="s">
        <v>82</v>
      </c>
      <c r="S474" s="1">
        <v>238.11</v>
      </c>
      <c r="T474" s="1">
        <v>92</v>
      </c>
      <c r="U474" s="1">
        <v>2.08</v>
      </c>
      <c r="V474" s="1">
        <v>-6.26</v>
      </c>
      <c r="W474" s="1">
        <v>0.3</v>
      </c>
      <c r="X474" s="1">
        <f t="shared" si="62"/>
        <v>300</v>
      </c>
      <c r="Y474" s="1">
        <v>3.15</v>
      </c>
      <c r="AA474" s="1">
        <v>79.710730769230693</v>
      </c>
      <c r="AB474" s="1" t="s">
        <v>89</v>
      </c>
      <c r="AC474" s="1">
        <v>25</v>
      </c>
      <c r="AH474" s="1">
        <v>0.69517499999999999</v>
      </c>
      <c r="AJ474" s="1">
        <f>IF(ISNUMBER(AH474),1-AH474,"")</f>
        <v>0.30482500000000001</v>
      </c>
      <c r="AK474" s="1">
        <f>IF(AND(ISNUMBER(AJ474),AJ474&gt;0),LN(AJ474),"")</f>
        <v>-1.1880174375358086</v>
      </c>
      <c r="AM474">
        <v>62</v>
      </c>
      <c r="AN474">
        <f>IF(ISNUMBER(AJ474),IF(AJ474&gt;=0.05,1,0),"")</f>
        <v>1</v>
      </c>
      <c r="AO474">
        <f>IF(ISNUMBER(AJ474),IF(AJ474&lt;0.005,1,0),"")</f>
        <v>0</v>
      </c>
      <c r="AQ474" s="34"/>
      <c r="AR474" s="35"/>
      <c r="AS474" s="36"/>
    </row>
    <row r="475" spans="1:45" ht="57" x14ac:dyDescent="0.45">
      <c r="A475" s="1" t="s">
        <v>88</v>
      </c>
      <c r="B475" s="1" t="s">
        <v>86</v>
      </c>
      <c r="C475" s="1">
        <v>182</v>
      </c>
      <c r="D475" s="1">
        <v>444.44</v>
      </c>
      <c r="E475" s="1">
        <v>-1.3</v>
      </c>
      <c r="F475" s="1">
        <v>3.5</v>
      </c>
      <c r="G475" s="1">
        <v>3.6</v>
      </c>
      <c r="H475" s="1">
        <v>1.35</v>
      </c>
      <c r="I475" s="1">
        <v>3.29</v>
      </c>
      <c r="J475" s="1">
        <v>3.0992000000000002</v>
      </c>
      <c r="K475" s="1" t="s">
        <v>83</v>
      </c>
      <c r="N475" s="1">
        <v>13.98</v>
      </c>
      <c r="O475" s="1">
        <v>2.1000000000000001E-2</v>
      </c>
      <c r="P475" s="1">
        <v>7.45</v>
      </c>
      <c r="Q475" s="1">
        <v>40</v>
      </c>
      <c r="R475" s="1" t="s">
        <v>82</v>
      </c>
      <c r="S475" s="1">
        <v>238.11</v>
      </c>
      <c r="T475" s="1">
        <v>92</v>
      </c>
      <c r="U475" s="1">
        <v>2.08</v>
      </c>
      <c r="V475" s="1">
        <v>-6.26</v>
      </c>
      <c r="W475" s="1">
        <v>0.3</v>
      </c>
      <c r="X475" s="1">
        <f t="shared" si="62"/>
        <v>300</v>
      </c>
      <c r="Y475" s="1">
        <v>3.15</v>
      </c>
      <c r="AA475" s="1">
        <v>99.453420168678207</v>
      </c>
      <c r="AB475" s="1" t="s">
        <v>89</v>
      </c>
      <c r="AC475" s="1">
        <v>25</v>
      </c>
      <c r="AH475" s="1">
        <v>0.70838302811909304</v>
      </c>
      <c r="AJ475" s="1">
        <f>IF(ISNUMBER(AH475),1-AH475,"")</f>
        <v>0.29161697188090696</v>
      </c>
      <c r="AK475" s="1">
        <f>IF(AND(ISNUMBER(AJ475),AJ475&gt;0),LN(AJ475),"")</f>
        <v>-1.2323140779319197</v>
      </c>
      <c r="AM475">
        <v>62</v>
      </c>
      <c r="AN475">
        <f>IF(ISNUMBER(AJ475),IF(AJ475&gt;=0.05,1,0),"")</f>
        <v>1</v>
      </c>
      <c r="AO475">
        <f>IF(ISNUMBER(AJ475),IF(AJ475&lt;0.005,1,0),"")</f>
        <v>0</v>
      </c>
      <c r="AQ475" s="34"/>
      <c r="AR475" s="35"/>
      <c r="AS475" s="36"/>
    </row>
    <row r="476" spans="1:45" ht="57" x14ac:dyDescent="0.45">
      <c r="A476" s="1" t="s">
        <v>88</v>
      </c>
      <c r="B476" s="1" t="s">
        <v>86</v>
      </c>
      <c r="C476" s="1">
        <v>182</v>
      </c>
      <c r="D476" s="1">
        <v>444.44</v>
      </c>
      <c r="E476" s="1">
        <v>-1.3</v>
      </c>
      <c r="F476" s="1">
        <v>3.5</v>
      </c>
      <c r="G476" s="1">
        <v>3.6</v>
      </c>
      <c r="H476" s="1">
        <v>1.35</v>
      </c>
      <c r="I476" s="1">
        <v>3.29</v>
      </c>
      <c r="J476" s="1">
        <v>3.0992000000000002</v>
      </c>
      <c r="K476" s="1" t="s">
        <v>83</v>
      </c>
      <c r="N476" s="1">
        <v>13.98</v>
      </c>
      <c r="O476" s="1">
        <v>2.1000000000000001E-2</v>
      </c>
      <c r="P476" s="1">
        <v>7.45</v>
      </c>
      <c r="Q476" s="1">
        <v>40</v>
      </c>
      <c r="R476" s="1" t="s">
        <v>82</v>
      </c>
      <c r="S476" s="1">
        <v>238.11</v>
      </c>
      <c r="T476" s="1">
        <v>92</v>
      </c>
      <c r="U476" s="1">
        <v>2.08</v>
      </c>
      <c r="V476" s="1">
        <v>-6.26</v>
      </c>
      <c r="W476" s="1">
        <v>0.3</v>
      </c>
      <c r="X476" s="1">
        <f t="shared" si="62"/>
        <v>300</v>
      </c>
      <c r="Y476" s="1">
        <v>3.15</v>
      </c>
      <c r="AA476" s="1">
        <v>119.403038461538</v>
      </c>
      <c r="AB476" s="1" t="s">
        <v>89</v>
      </c>
      <c r="AC476" s="1">
        <v>25</v>
      </c>
      <c r="AH476" s="1">
        <v>0.72517500000000001</v>
      </c>
      <c r="AJ476" s="1">
        <f>IF(ISNUMBER(AH476),1-AH476,"")</f>
        <v>0.27482499999999999</v>
      </c>
      <c r="AK476" s="1">
        <f>IF(AND(ISNUMBER(AJ476),AJ476&gt;0),LN(AJ476),"")</f>
        <v>-1.2916207475172097</v>
      </c>
      <c r="AM476">
        <v>62</v>
      </c>
      <c r="AN476">
        <f>IF(ISNUMBER(AJ476),IF(AJ476&gt;=0.05,1,0),"")</f>
        <v>1</v>
      </c>
      <c r="AO476">
        <f>IF(ISNUMBER(AJ476),IF(AJ476&lt;0.005,1,0),"")</f>
        <v>0</v>
      </c>
      <c r="AQ476" s="34"/>
      <c r="AR476" s="35"/>
      <c r="AS476" s="36"/>
    </row>
    <row r="477" spans="1:45" ht="57" x14ac:dyDescent="0.45">
      <c r="A477" s="1" t="s">
        <v>88</v>
      </c>
      <c r="B477" s="1" t="s">
        <v>86</v>
      </c>
      <c r="C477" s="1">
        <v>182</v>
      </c>
      <c r="D477" s="1">
        <v>444.44</v>
      </c>
      <c r="E477" s="1">
        <v>-1.3</v>
      </c>
      <c r="F477" s="1">
        <v>3.5</v>
      </c>
      <c r="G477" s="1">
        <v>3.6</v>
      </c>
      <c r="H477" s="1">
        <v>1.35</v>
      </c>
      <c r="I477" s="1">
        <v>3.29</v>
      </c>
      <c r="J477" s="1">
        <v>3.0992000000000002</v>
      </c>
      <c r="K477" s="1" t="s">
        <v>83</v>
      </c>
      <c r="N477" s="1">
        <v>13.98</v>
      </c>
      <c r="O477" s="1">
        <v>2.1000000000000001E-2</v>
      </c>
      <c r="P477" s="1">
        <v>7.45</v>
      </c>
      <c r="Q477" s="1">
        <v>40</v>
      </c>
      <c r="R477" s="1" t="s">
        <v>82</v>
      </c>
      <c r="S477" s="1">
        <v>238.11</v>
      </c>
      <c r="T477" s="1">
        <v>92</v>
      </c>
      <c r="U477" s="1">
        <v>2.08</v>
      </c>
      <c r="V477" s="1">
        <v>-6.26</v>
      </c>
      <c r="W477" s="1">
        <v>0.3</v>
      </c>
      <c r="X477" s="1">
        <f t="shared" si="62"/>
        <v>300</v>
      </c>
      <c r="Y477" s="1">
        <v>6.3</v>
      </c>
      <c r="AA477" s="1">
        <v>0.19551455031263301</v>
      </c>
      <c r="AB477" s="1" t="s">
        <v>89</v>
      </c>
      <c r="AC477" s="1">
        <v>25</v>
      </c>
      <c r="AH477" s="1">
        <v>1.1565827120747052E-2</v>
      </c>
      <c r="AI477" s="1">
        <v>1.1605731730129023E-2</v>
      </c>
      <c r="AJ477" s="1">
        <f>IF(ISNUMBER(AH477),1-AH477,"")</f>
        <v>0.98843417287925295</v>
      </c>
      <c r="AK477" s="1">
        <f>IF(AND(ISNUMBER(AJ477),AJ477&gt;0),LN(AJ477),"")</f>
        <v>-1.1633231528425592E-2</v>
      </c>
      <c r="AM477">
        <v>63</v>
      </c>
      <c r="AN477">
        <f>IF(ISNUMBER(AJ477),IF(AJ477&gt;=0.05,1,0),"")</f>
        <v>1</v>
      </c>
      <c r="AO477">
        <f>IF(ISNUMBER(AJ477),IF(AJ477&lt;0.005,1,0),"")</f>
        <v>0</v>
      </c>
      <c r="AP477">
        <f>IFERROR(MATCH(0,AN477:AN484,0)-1,8)</f>
        <v>8</v>
      </c>
      <c r="AQ477" s="34">
        <f>IF(AP477&lt;3,"n&lt;3",IFERROR(-SLOPE(AK477:INDEX(AK477:AK484,AP477),AA477:INDEX(AA477:AA484,AP477)),"no fit"))</f>
        <v>9.2411416596988091E-3</v>
      </c>
      <c r="AR477" s="35">
        <f>IF(AP477&lt;3,"",IFERROR(RSQ(AK477:INDEX(AK477:AK484,AP477),AA477:INDEX(AA477:AA484,AP477)),"flat"))</f>
        <v>0.72594984592296319</v>
      </c>
      <c r="AS477" s="36">
        <f>IFERROR(AQ477/AI477,"")</f>
        <v>0.79625670096340184</v>
      </c>
    </row>
    <row r="478" spans="1:45" ht="57" x14ac:dyDescent="0.45">
      <c r="A478" s="1" t="s">
        <v>88</v>
      </c>
      <c r="B478" s="1" t="s">
        <v>86</v>
      </c>
      <c r="C478" s="1">
        <v>182</v>
      </c>
      <c r="D478" s="1">
        <v>444.44</v>
      </c>
      <c r="E478" s="1">
        <v>-1.3</v>
      </c>
      <c r="F478" s="1">
        <v>3.5</v>
      </c>
      <c r="G478" s="1">
        <v>3.6</v>
      </c>
      <c r="H478" s="1">
        <v>1.35</v>
      </c>
      <c r="I478" s="1">
        <v>3.29</v>
      </c>
      <c r="J478" s="1">
        <v>3.0992000000000002</v>
      </c>
      <c r="K478" s="1" t="s">
        <v>83</v>
      </c>
      <c r="N478" s="1">
        <v>13.98</v>
      </c>
      <c r="O478" s="1">
        <v>2.1000000000000001E-2</v>
      </c>
      <c r="P478" s="1">
        <v>7.45</v>
      </c>
      <c r="Q478" s="1">
        <v>40</v>
      </c>
      <c r="R478" s="1" t="s">
        <v>82</v>
      </c>
      <c r="S478" s="1">
        <v>238.11</v>
      </c>
      <c r="T478" s="1">
        <v>92</v>
      </c>
      <c r="U478" s="1">
        <v>2.08</v>
      </c>
      <c r="V478" s="1">
        <v>-6.26</v>
      </c>
      <c r="W478" s="1">
        <v>0.3</v>
      </c>
      <c r="X478" s="1">
        <f t="shared" si="62"/>
        <v>300</v>
      </c>
      <c r="Y478" s="1">
        <v>6.3</v>
      </c>
      <c r="AA478" s="1">
        <v>9.82762157372402</v>
      </c>
      <c r="AB478" s="1" t="s">
        <v>89</v>
      </c>
      <c r="AC478" s="1">
        <v>25</v>
      </c>
      <c r="AH478" s="1">
        <v>0.46700060972944202</v>
      </c>
      <c r="AJ478" s="1">
        <f>IF(ISNUMBER(AH478),1-AH478,"")</f>
        <v>0.53299939027055798</v>
      </c>
      <c r="AK478" s="1">
        <f>IF(AND(ISNUMBER(AJ478),AJ478&gt;0),LN(AJ478),"")</f>
        <v>-0.62923499877462419</v>
      </c>
      <c r="AM478">
        <v>63</v>
      </c>
      <c r="AN478">
        <f>IF(ISNUMBER(AJ478),IF(AJ478&gt;=0.05,1,0),"")</f>
        <v>1</v>
      </c>
      <c r="AO478">
        <f>IF(ISNUMBER(AJ478),IF(AJ478&lt;0.005,1,0),"")</f>
        <v>0</v>
      </c>
      <c r="AQ478" s="34"/>
      <c r="AR478" s="35"/>
      <c r="AS478" s="36"/>
    </row>
    <row r="479" spans="1:45" ht="57" x14ac:dyDescent="0.45">
      <c r="A479" s="1" t="s">
        <v>88</v>
      </c>
      <c r="B479" s="1" t="s">
        <v>86</v>
      </c>
      <c r="C479" s="1">
        <v>182</v>
      </c>
      <c r="D479" s="1">
        <v>444.44</v>
      </c>
      <c r="E479" s="1">
        <v>-1.3</v>
      </c>
      <c r="F479" s="1">
        <v>3.5</v>
      </c>
      <c r="G479" s="1">
        <v>3.6</v>
      </c>
      <c r="H479" s="1">
        <v>1.35</v>
      </c>
      <c r="I479" s="1">
        <v>3.29</v>
      </c>
      <c r="J479" s="1">
        <v>3.0992000000000002</v>
      </c>
      <c r="K479" s="1" t="s">
        <v>83</v>
      </c>
      <c r="N479" s="1">
        <v>13.98</v>
      </c>
      <c r="O479" s="1">
        <v>2.1000000000000001E-2</v>
      </c>
      <c r="P479" s="1">
        <v>7.45</v>
      </c>
      <c r="Q479" s="1">
        <v>40</v>
      </c>
      <c r="R479" s="1" t="s">
        <v>82</v>
      </c>
      <c r="S479" s="1">
        <v>238.11</v>
      </c>
      <c r="T479" s="1">
        <v>92</v>
      </c>
      <c r="U479" s="1">
        <v>2.08</v>
      </c>
      <c r="V479" s="1">
        <v>-6.26</v>
      </c>
      <c r="W479" s="1">
        <v>0.3</v>
      </c>
      <c r="X479" s="1">
        <f t="shared" si="62"/>
        <v>300</v>
      </c>
      <c r="Y479" s="1">
        <v>6.3</v>
      </c>
      <c r="AA479" s="1">
        <v>19.994845653991501</v>
      </c>
      <c r="AB479" s="1" t="s">
        <v>89</v>
      </c>
      <c r="AC479" s="1">
        <v>25</v>
      </c>
      <c r="AH479" s="1">
        <v>0.58221800103379007</v>
      </c>
      <c r="AJ479" s="1">
        <f>IF(ISNUMBER(AH479),1-AH479,"")</f>
        <v>0.41778199896620993</v>
      </c>
      <c r="AK479" s="1">
        <f>IF(AND(ISNUMBER(AJ479),AJ479&gt;0),LN(AJ479),"")</f>
        <v>-0.87279551607697914</v>
      </c>
      <c r="AM479">
        <v>63</v>
      </c>
      <c r="AN479">
        <f>IF(ISNUMBER(AJ479),IF(AJ479&gt;=0.05,1,0),"")</f>
        <v>1</v>
      </c>
      <c r="AO479">
        <f>IF(ISNUMBER(AJ479),IF(AJ479&lt;0.005,1,0),"")</f>
        <v>0</v>
      </c>
      <c r="AQ479" s="34"/>
      <c r="AR479" s="35"/>
      <c r="AS479" s="36"/>
    </row>
    <row r="480" spans="1:45" ht="57" x14ac:dyDescent="0.45">
      <c r="A480" s="1" t="s">
        <v>88</v>
      </c>
      <c r="B480" s="1" t="s">
        <v>86</v>
      </c>
      <c r="C480" s="1">
        <v>182</v>
      </c>
      <c r="D480" s="1">
        <v>444.44</v>
      </c>
      <c r="E480" s="1">
        <v>-1.3</v>
      </c>
      <c r="F480" s="1">
        <v>3.5</v>
      </c>
      <c r="G480" s="1">
        <v>3.6</v>
      </c>
      <c r="H480" s="1">
        <v>1.35</v>
      </c>
      <c r="I480" s="1">
        <v>3.29</v>
      </c>
      <c r="J480" s="1">
        <v>3.0992000000000002</v>
      </c>
      <c r="K480" s="1" t="s">
        <v>83</v>
      </c>
      <c r="N480" s="1">
        <v>13.98</v>
      </c>
      <c r="O480" s="1">
        <v>2.1000000000000001E-2</v>
      </c>
      <c r="P480" s="1">
        <v>7.45</v>
      </c>
      <c r="Q480" s="1">
        <v>40</v>
      </c>
      <c r="R480" s="1" t="s">
        <v>82</v>
      </c>
      <c r="S480" s="1">
        <v>238.11</v>
      </c>
      <c r="T480" s="1">
        <v>92</v>
      </c>
      <c r="U480" s="1">
        <v>2.08</v>
      </c>
      <c r="V480" s="1">
        <v>-6.26</v>
      </c>
      <c r="W480" s="1">
        <v>0.3</v>
      </c>
      <c r="X480" s="1">
        <f t="shared" si="62"/>
        <v>300</v>
      </c>
      <c r="Y480" s="1">
        <v>6.3</v>
      </c>
      <c r="AA480" s="1">
        <v>39.927956021884498</v>
      </c>
      <c r="AB480" s="1" t="s">
        <v>89</v>
      </c>
      <c r="AC480" s="1">
        <v>25</v>
      </c>
      <c r="AH480" s="1">
        <v>0.67678321842509392</v>
      </c>
      <c r="AJ480" s="1">
        <f>IF(ISNUMBER(AH480),1-AH480,"")</f>
        <v>0.32321678157490608</v>
      </c>
      <c r="AK480" s="1">
        <f>IF(AND(ISNUMBER(AJ480),AJ480&gt;0),LN(AJ480),"")</f>
        <v>-1.1294320304934742</v>
      </c>
      <c r="AM480">
        <v>63</v>
      </c>
      <c r="AN480">
        <f>IF(ISNUMBER(AJ480),IF(AJ480&gt;=0.05,1,0),"")</f>
        <v>1</v>
      </c>
      <c r="AO480">
        <f>IF(ISNUMBER(AJ480),IF(AJ480&lt;0.005,1,0),"")</f>
        <v>0</v>
      </c>
      <c r="AQ480" s="34"/>
      <c r="AR480" s="35"/>
      <c r="AS480" s="36"/>
    </row>
    <row r="481" spans="1:45" ht="57" x14ac:dyDescent="0.45">
      <c r="A481" s="1" t="s">
        <v>88</v>
      </c>
      <c r="B481" s="1" t="s">
        <v>86</v>
      </c>
      <c r="C481" s="1">
        <v>182</v>
      </c>
      <c r="D481" s="1">
        <v>444.44</v>
      </c>
      <c r="E481" s="1">
        <v>-1.3</v>
      </c>
      <c r="F481" s="1">
        <v>3.5</v>
      </c>
      <c r="G481" s="1">
        <v>3.6</v>
      </c>
      <c r="H481" s="1">
        <v>1.35</v>
      </c>
      <c r="I481" s="1">
        <v>3.29</v>
      </c>
      <c r="J481" s="1">
        <v>3.0992000000000002</v>
      </c>
      <c r="K481" s="1" t="s">
        <v>83</v>
      </c>
      <c r="N481" s="1">
        <v>13.98</v>
      </c>
      <c r="O481" s="1">
        <v>2.1000000000000001E-2</v>
      </c>
      <c r="P481" s="1">
        <v>7.45</v>
      </c>
      <c r="Q481" s="1">
        <v>40</v>
      </c>
      <c r="R481" s="1" t="s">
        <v>82</v>
      </c>
      <c r="S481" s="1">
        <v>238.11</v>
      </c>
      <c r="T481" s="1">
        <v>92</v>
      </c>
      <c r="U481" s="1">
        <v>2.08</v>
      </c>
      <c r="V481" s="1">
        <v>-6.26</v>
      </c>
      <c r="W481" s="1">
        <v>0.3</v>
      </c>
      <c r="X481" s="1">
        <f t="shared" si="62"/>
        <v>300</v>
      </c>
      <c r="Y481" s="1">
        <v>6.3</v>
      </c>
      <c r="AA481" s="1">
        <v>59.459728597135403</v>
      </c>
      <c r="AB481" s="1" t="s">
        <v>89</v>
      </c>
      <c r="AC481" s="1">
        <v>25</v>
      </c>
      <c r="AH481" s="1">
        <v>0.70178321842509406</v>
      </c>
      <c r="AJ481" s="1">
        <f>IF(ISNUMBER(AH481),1-AH481,"")</f>
        <v>0.29821678157490594</v>
      </c>
      <c r="AK481" s="1">
        <f>IF(AND(ISNUMBER(AJ481),AJ481&gt;0),LN(AJ481),"")</f>
        <v>-1.2099346019944845</v>
      </c>
      <c r="AM481">
        <v>63</v>
      </c>
      <c r="AN481">
        <f>IF(ISNUMBER(AJ481),IF(AJ481&gt;=0.05,1,0),"")</f>
        <v>1</v>
      </c>
      <c r="AO481">
        <f>IF(ISNUMBER(AJ481),IF(AJ481&lt;0.005,1,0),"")</f>
        <v>0</v>
      </c>
      <c r="AQ481" s="34"/>
      <c r="AR481" s="35"/>
      <c r="AS481" s="36"/>
    </row>
    <row r="482" spans="1:45" ht="57" x14ac:dyDescent="0.45">
      <c r="A482" s="1" t="s">
        <v>88</v>
      </c>
      <c r="B482" s="1" t="s">
        <v>86</v>
      </c>
      <c r="C482" s="1">
        <v>182</v>
      </c>
      <c r="D482" s="1">
        <v>444.44</v>
      </c>
      <c r="E482" s="1">
        <v>-1.3</v>
      </c>
      <c r="F482" s="1">
        <v>3.5</v>
      </c>
      <c r="G482" s="1">
        <v>3.6</v>
      </c>
      <c r="H482" s="1">
        <v>1.35</v>
      </c>
      <c r="I482" s="1">
        <v>3.29</v>
      </c>
      <c r="J482" s="1">
        <v>3.0992000000000002</v>
      </c>
      <c r="K482" s="1" t="s">
        <v>83</v>
      </c>
      <c r="N482" s="1">
        <v>13.98</v>
      </c>
      <c r="O482" s="1">
        <v>2.1000000000000001E-2</v>
      </c>
      <c r="P482" s="1">
        <v>7.45</v>
      </c>
      <c r="Q482" s="1">
        <v>40</v>
      </c>
      <c r="R482" s="1" t="s">
        <v>82</v>
      </c>
      <c r="S482" s="1">
        <v>238.11</v>
      </c>
      <c r="T482" s="1">
        <v>92</v>
      </c>
      <c r="U482" s="1">
        <v>2.08</v>
      </c>
      <c r="V482" s="1">
        <v>-6.26</v>
      </c>
      <c r="W482" s="1">
        <v>0.3</v>
      </c>
      <c r="X482" s="1">
        <f t="shared" si="62"/>
        <v>300</v>
      </c>
      <c r="Y482" s="1">
        <v>6.3</v>
      </c>
      <c r="AA482" s="1">
        <v>79.526618229242402</v>
      </c>
      <c r="AB482" s="1" t="s">
        <v>89</v>
      </c>
      <c r="AC482" s="1">
        <v>25</v>
      </c>
      <c r="AH482" s="1">
        <v>0.73004408799031206</v>
      </c>
      <c r="AJ482" s="1">
        <f>IF(ISNUMBER(AH482),1-AH482,"")</f>
        <v>0.26995591200968794</v>
      </c>
      <c r="AK482" s="1">
        <f>IF(AND(ISNUMBER(AJ482),AJ482&gt;0),LN(AJ482),"")</f>
        <v>-1.3094966221698461</v>
      </c>
      <c r="AM482">
        <v>63</v>
      </c>
      <c r="AN482">
        <f>IF(ISNUMBER(AJ482),IF(AJ482&gt;=0.05,1,0),"")</f>
        <v>1</v>
      </c>
      <c r="AO482">
        <f>IF(ISNUMBER(AJ482),IF(AJ482&lt;0.005,1,0),"")</f>
        <v>0</v>
      </c>
      <c r="AQ482" s="34"/>
      <c r="AR482" s="35"/>
      <c r="AS482" s="36"/>
    </row>
    <row r="483" spans="1:45" ht="57" x14ac:dyDescent="0.45">
      <c r="A483" s="1" t="s">
        <v>88</v>
      </c>
      <c r="B483" s="1" t="s">
        <v>86</v>
      </c>
      <c r="C483" s="1">
        <v>182</v>
      </c>
      <c r="D483" s="1">
        <v>444.44</v>
      </c>
      <c r="E483" s="1">
        <v>-1.3</v>
      </c>
      <c r="F483" s="1">
        <v>3.5</v>
      </c>
      <c r="G483" s="1">
        <v>3.6</v>
      </c>
      <c r="H483" s="1">
        <v>1.35</v>
      </c>
      <c r="I483" s="1">
        <v>3.29</v>
      </c>
      <c r="J483" s="1">
        <v>3.0992000000000002</v>
      </c>
      <c r="K483" s="1" t="s">
        <v>83</v>
      </c>
      <c r="N483" s="1">
        <v>13.98</v>
      </c>
      <c r="O483" s="1">
        <v>2.1000000000000001E-2</v>
      </c>
      <c r="P483" s="1">
        <v>7.45</v>
      </c>
      <c r="Q483" s="1">
        <v>40</v>
      </c>
      <c r="R483" s="1" t="s">
        <v>82</v>
      </c>
      <c r="S483" s="1">
        <v>238.11</v>
      </c>
      <c r="T483" s="1">
        <v>92</v>
      </c>
      <c r="U483" s="1">
        <v>2.08</v>
      </c>
      <c r="V483" s="1">
        <v>-6.26</v>
      </c>
      <c r="W483" s="1">
        <v>0.3</v>
      </c>
      <c r="X483" s="1">
        <f t="shared" si="62"/>
        <v>300</v>
      </c>
      <c r="Y483" s="1">
        <v>6.3</v>
      </c>
      <c r="AA483" s="1">
        <v>99.593507861349394</v>
      </c>
      <c r="AB483" s="1" t="s">
        <v>89</v>
      </c>
      <c r="AC483" s="1">
        <v>25</v>
      </c>
      <c r="AH483" s="1">
        <v>0.73765278364248599</v>
      </c>
      <c r="AJ483" s="1">
        <f>IF(ISNUMBER(AH483),1-AH483,"")</f>
        <v>0.26234721635751401</v>
      </c>
      <c r="AK483" s="1">
        <f>IF(AND(ISNUMBER(AJ483),AJ483&gt;0),LN(AJ483),"")</f>
        <v>-1.3380863993211292</v>
      </c>
      <c r="AM483">
        <v>63</v>
      </c>
      <c r="AN483">
        <f>IF(ISNUMBER(AJ483),IF(AJ483&gt;=0.05,1,0),"")</f>
        <v>1</v>
      </c>
      <c r="AO483">
        <f>IF(ISNUMBER(AJ483),IF(AJ483&lt;0.005,1,0),"")</f>
        <v>0</v>
      </c>
      <c r="AQ483" s="34"/>
      <c r="AR483" s="35"/>
      <c r="AS483" s="36"/>
    </row>
    <row r="484" spans="1:45" ht="57" x14ac:dyDescent="0.45">
      <c r="A484" s="1" t="s">
        <v>88</v>
      </c>
      <c r="B484" s="1" t="s">
        <v>86</v>
      </c>
      <c r="C484" s="1">
        <v>182</v>
      </c>
      <c r="D484" s="1">
        <v>444.44</v>
      </c>
      <c r="E484" s="1">
        <v>-1.3</v>
      </c>
      <c r="F484" s="1">
        <v>3.5</v>
      </c>
      <c r="G484" s="1">
        <v>3.6</v>
      </c>
      <c r="H484" s="1">
        <v>1.35</v>
      </c>
      <c r="I484" s="1">
        <v>3.29</v>
      </c>
      <c r="J484" s="1">
        <v>3.0992000000000002</v>
      </c>
      <c r="K484" s="1" t="s">
        <v>83</v>
      </c>
      <c r="N484" s="1">
        <v>13.98</v>
      </c>
      <c r="O484" s="1">
        <v>2.1000000000000001E-2</v>
      </c>
      <c r="P484" s="1">
        <v>7.45</v>
      </c>
      <c r="Q484" s="1">
        <v>40</v>
      </c>
      <c r="R484" s="1" t="s">
        <v>82</v>
      </c>
      <c r="S484" s="1">
        <v>238.11</v>
      </c>
      <c r="T484" s="1">
        <v>92</v>
      </c>
      <c r="U484" s="1">
        <v>2.08</v>
      </c>
      <c r="V484" s="1">
        <v>-6.26</v>
      </c>
      <c r="W484" s="1">
        <v>0.3</v>
      </c>
      <c r="X484" s="1">
        <f t="shared" si="62"/>
        <v>300</v>
      </c>
      <c r="Y484" s="1">
        <v>6.3</v>
      </c>
      <c r="AA484" s="1">
        <v>119.25905970081401</v>
      </c>
      <c r="AB484" s="1" t="s">
        <v>89</v>
      </c>
      <c r="AC484" s="1">
        <v>25</v>
      </c>
      <c r="AH484" s="1">
        <v>0.75178321842509399</v>
      </c>
      <c r="AJ484" s="1">
        <f>IF(ISNUMBER(AH484),1-AH484,"")</f>
        <v>0.24821678157490601</v>
      </c>
      <c r="AK484" s="1">
        <f>IF(AND(ISNUMBER(AJ484),AJ484&gt;0),LN(AJ484),"")</f>
        <v>-1.3934527953832487</v>
      </c>
      <c r="AM484">
        <v>63</v>
      </c>
      <c r="AN484">
        <f>IF(ISNUMBER(AJ484),IF(AJ484&gt;=0.05,1,0),"")</f>
        <v>1</v>
      </c>
      <c r="AO484">
        <f>IF(ISNUMBER(AJ484),IF(AJ484&lt;0.005,1,0),"")</f>
        <v>0</v>
      </c>
      <c r="AQ484" s="34"/>
      <c r="AR484" s="35"/>
      <c r="AS484" s="36"/>
    </row>
    <row r="485" spans="1:45" ht="57" x14ac:dyDescent="0.45">
      <c r="A485" s="1" t="s">
        <v>88</v>
      </c>
      <c r="B485" s="1" t="s">
        <v>86</v>
      </c>
      <c r="C485" s="1">
        <v>182</v>
      </c>
      <c r="D485" s="1">
        <v>444.44</v>
      </c>
      <c r="E485" s="1">
        <v>-1.3</v>
      </c>
      <c r="F485" s="1">
        <v>3.5</v>
      </c>
      <c r="G485" s="1">
        <v>3.6</v>
      </c>
      <c r="H485" s="1">
        <v>1.35</v>
      </c>
      <c r="I485" s="1">
        <v>3.29</v>
      </c>
      <c r="J485" s="1">
        <v>3.0992000000000002</v>
      </c>
      <c r="K485" s="1" t="s">
        <v>83</v>
      </c>
      <c r="N485" s="1">
        <v>13.98</v>
      </c>
      <c r="O485" s="1">
        <v>2.1000000000000001E-2</v>
      </c>
      <c r="P485" s="1">
        <v>7.45</v>
      </c>
      <c r="Q485" s="1">
        <v>40</v>
      </c>
      <c r="R485" s="1" t="s">
        <v>82</v>
      </c>
      <c r="S485" s="1">
        <v>238.11</v>
      </c>
      <c r="T485" s="1">
        <v>92</v>
      </c>
      <c r="U485" s="1">
        <v>2.08</v>
      </c>
      <c r="V485" s="1">
        <v>-6.26</v>
      </c>
      <c r="W485" s="1">
        <v>0.3</v>
      </c>
      <c r="X485" s="1">
        <f t="shared" si="62"/>
        <v>300</v>
      </c>
      <c r="Y485" s="1">
        <v>9.4499999999999993</v>
      </c>
      <c r="AA485" s="1">
        <v>0.10206691689681099</v>
      </c>
      <c r="AB485" s="1" t="s">
        <v>89</v>
      </c>
      <c r="AC485" s="1">
        <v>25</v>
      </c>
      <c r="AH485" s="1">
        <v>1.2002145941635955E-2</v>
      </c>
      <c r="AI485" s="1">
        <v>1.0701871883835657E-2</v>
      </c>
      <c r="AJ485" s="1">
        <f>IF(ISNUMBER(AH485),1-AH485,"")</f>
        <v>0.98799785405836404</v>
      </c>
      <c r="AK485" s="1">
        <f>IF(AND(ISNUMBER(AJ485),AJ485&gt;0),LN(AJ485),"")</f>
        <v>-1.2074753242332453E-2</v>
      </c>
      <c r="AM485">
        <v>64</v>
      </c>
      <c r="AN485">
        <f>IF(ISNUMBER(AJ485),IF(AJ485&gt;=0.05,1,0),"")</f>
        <v>1</v>
      </c>
      <c r="AO485">
        <f>IF(ISNUMBER(AJ485),IF(AJ485&lt;0.005,1,0),"")</f>
        <v>0</v>
      </c>
      <c r="AP485">
        <f>IFERROR(MATCH(0,AN485:AN492,0)-1,8)</f>
        <v>8</v>
      </c>
      <c r="AQ485" s="34">
        <f>IF(AP485&lt;3,"n&lt;3",IFERROR(-SLOPE(AK485:INDEX(AK485:AK492,AP485),AA485:INDEX(AA485:AA492,AP485)),"no fit"))</f>
        <v>9.2853863660900572E-3</v>
      </c>
      <c r="AR485" s="35">
        <f>IF(AP485&lt;3,"",IFERROR(RSQ(AK485:INDEX(AK485:AK492,AP485),AA485:INDEX(AA485:AA492,AP485)),"flat"))</f>
        <v>0.78547798801896507</v>
      </c>
      <c r="AS485" s="36">
        <f>IFERROR(AQ485/AI485,"")</f>
        <v>0.86764133105675734</v>
      </c>
    </row>
    <row r="486" spans="1:45" ht="57" x14ac:dyDescent="0.45">
      <c r="A486" s="1" t="s">
        <v>88</v>
      </c>
      <c r="B486" s="1" t="s">
        <v>86</v>
      </c>
      <c r="C486" s="1">
        <v>182</v>
      </c>
      <c r="D486" s="1">
        <v>444.44</v>
      </c>
      <c r="E486" s="1">
        <v>-1.3</v>
      </c>
      <c r="F486" s="1">
        <v>3.5</v>
      </c>
      <c r="G486" s="1">
        <v>3.6</v>
      </c>
      <c r="H486" s="1">
        <v>1.35</v>
      </c>
      <c r="I486" s="1">
        <v>3.29</v>
      </c>
      <c r="J486" s="1">
        <v>3.0992000000000002</v>
      </c>
      <c r="K486" s="1" t="s">
        <v>83</v>
      </c>
      <c r="N486" s="1">
        <v>13.98</v>
      </c>
      <c r="O486" s="1">
        <v>2.1000000000000001E-2</v>
      </c>
      <c r="P486" s="1">
        <v>7.45</v>
      </c>
      <c r="Q486" s="1">
        <v>40</v>
      </c>
      <c r="R486" s="1" t="s">
        <v>82</v>
      </c>
      <c r="S486" s="1">
        <v>238.11</v>
      </c>
      <c r="T486" s="1">
        <v>92</v>
      </c>
      <c r="U486" s="1">
        <v>2.08</v>
      </c>
      <c r="V486" s="1">
        <v>-6.26</v>
      </c>
      <c r="W486" s="1">
        <v>0.3</v>
      </c>
      <c r="X486" s="1">
        <f t="shared" si="62"/>
        <v>300</v>
      </c>
      <c r="Y486" s="1">
        <v>9.4499999999999993</v>
      </c>
      <c r="AA486" s="1">
        <v>10.205625390795401</v>
      </c>
      <c r="AB486" s="1" t="s">
        <v>89</v>
      </c>
      <c r="AC486" s="1">
        <v>25</v>
      </c>
      <c r="AH486" s="1">
        <v>0.37575214594163597</v>
      </c>
      <c r="AJ486" s="1">
        <f>IF(ISNUMBER(AH486),1-AH486,"")</f>
        <v>0.62424785405836403</v>
      </c>
      <c r="AK486" s="1">
        <f>IF(AND(ISNUMBER(AJ486),AJ486&gt;0),LN(AJ486),"")</f>
        <v>-0.4712077874599388</v>
      </c>
      <c r="AM486">
        <v>64</v>
      </c>
      <c r="AN486">
        <f>IF(ISNUMBER(AJ486),IF(AJ486&gt;=0.05,1,0),"")</f>
        <v>1</v>
      </c>
      <c r="AO486">
        <f>IF(ISNUMBER(AJ486),IF(AJ486&lt;0.005,1,0),"")</f>
        <v>0</v>
      </c>
      <c r="AQ486" s="34"/>
      <c r="AR486" s="35"/>
      <c r="AS486" s="36"/>
    </row>
    <row r="487" spans="1:45" ht="57" x14ac:dyDescent="0.45">
      <c r="A487" s="1" t="s">
        <v>88</v>
      </c>
      <c r="B487" s="1" t="s">
        <v>86</v>
      </c>
      <c r="C487" s="1">
        <v>182</v>
      </c>
      <c r="D487" s="1">
        <v>444.44</v>
      </c>
      <c r="E487" s="1">
        <v>-1.3</v>
      </c>
      <c r="F487" s="1">
        <v>3.5</v>
      </c>
      <c r="G487" s="1">
        <v>3.6</v>
      </c>
      <c r="H487" s="1">
        <v>1.35</v>
      </c>
      <c r="I487" s="1">
        <v>3.29</v>
      </c>
      <c r="J487" s="1">
        <v>3.0992000000000002</v>
      </c>
      <c r="K487" s="1" t="s">
        <v>83</v>
      </c>
      <c r="N487" s="1">
        <v>13.98</v>
      </c>
      <c r="O487" s="1">
        <v>2.1000000000000001E-2</v>
      </c>
      <c r="P487" s="1">
        <v>7.45</v>
      </c>
      <c r="Q487" s="1">
        <v>40</v>
      </c>
      <c r="R487" s="1" t="s">
        <v>82</v>
      </c>
      <c r="S487" s="1">
        <v>238.11</v>
      </c>
      <c r="T487" s="1">
        <v>92</v>
      </c>
      <c r="U487" s="1">
        <v>2.08</v>
      </c>
      <c r="V487" s="1">
        <v>-6.26</v>
      </c>
      <c r="W487" s="1">
        <v>0.3</v>
      </c>
      <c r="X487" s="1">
        <f t="shared" si="62"/>
        <v>300</v>
      </c>
      <c r="Y487" s="1">
        <v>9.4499999999999993</v>
      </c>
      <c r="AA487" s="1">
        <v>20.3594715446416</v>
      </c>
      <c r="AB487" s="1" t="s">
        <v>89</v>
      </c>
      <c r="AC487" s="1">
        <v>25</v>
      </c>
      <c r="AH487" s="1">
        <v>0.52075214594163599</v>
      </c>
      <c r="AJ487" s="1">
        <f>IF(ISNUMBER(AH487),1-AH487,"")</f>
        <v>0.47924785405836401</v>
      </c>
      <c r="AK487" s="1">
        <f>IF(AND(ISNUMBER(AJ487),AJ487&gt;0),LN(AJ487),"")</f>
        <v>-0.73553737477456882</v>
      </c>
      <c r="AM487">
        <v>64</v>
      </c>
      <c r="AN487">
        <f>IF(ISNUMBER(AJ487),IF(AJ487&gt;=0.05,1,0),"")</f>
        <v>1</v>
      </c>
      <c r="AO487">
        <f>IF(ISNUMBER(AJ487),IF(AJ487&lt;0.005,1,0),"")</f>
        <v>0</v>
      </c>
      <c r="AQ487" s="34"/>
      <c r="AR487" s="35"/>
      <c r="AS487" s="36"/>
    </row>
    <row r="488" spans="1:45" ht="57" x14ac:dyDescent="0.45">
      <c r="A488" s="1" t="s">
        <v>88</v>
      </c>
      <c r="B488" s="1" t="s">
        <v>86</v>
      </c>
      <c r="C488" s="1">
        <v>182</v>
      </c>
      <c r="D488" s="1">
        <v>444.44</v>
      </c>
      <c r="E488" s="1">
        <v>-1.3</v>
      </c>
      <c r="F488" s="1">
        <v>3.5</v>
      </c>
      <c r="G488" s="1">
        <v>3.6</v>
      </c>
      <c r="H488" s="1">
        <v>1.35</v>
      </c>
      <c r="I488" s="1">
        <v>3.29</v>
      </c>
      <c r="J488" s="1">
        <v>3.0992000000000002</v>
      </c>
      <c r="K488" s="1" t="s">
        <v>83</v>
      </c>
      <c r="N488" s="1">
        <v>13.98</v>
      </c>
      <c r="O488" s="1">
        <v>2.1000000000000001E-2</v>
      </c>
      <c r="P488" s="1">
        <v>7.45</v>
      </c>
      <c r="Q488" s="1">
        <v>40</v>
      </c>
      <c r="R488" s="1" t="s">
        <v>82</v>
      </c>
      <c r="S488" s="1">
        <v>238.11</v>
      </c>
      <c r="T488" s="1">
        <v>92</v>
      </c>
      <c r="U488" s="1">
        <v>2.08</v>
      </c>
      <c r="V488" s="1">
        <v>-6.26</v>
      </c>
      <c r="W488" s="1">
        <v>0.3</v>
      </c>
      <c r="X488" s="1">
        <f t="shared" si="62"/>
        <v>300</v>
      </c>
      <c r="Y488" s="1">
        <v>9.4499999999999993</v>
      </c>
      <c r="AA488" s="1">
        <v>39.744086929257001</v>
      </c>
      <c r="AB488" s="1" t="s">
        <v>89</v>
      </c>
      <c r="AC488" s="1">
        <v>25</v>
      </c>
      <c r="AH488" s="1">
        <v>0.62825214594163592</v>
      </c>
      <c r="AJ488" s="1">
        <f>IF(ISNUMBER(AH488),1-AH488,"")</f>
        <v>0.37174785405836408</v>
      </c>
      <c r="AK488" s="1">
        <f>IF(AND(ISNUMBER(AJ488),AJ488&gt;0),LN(AJ488),"")</f>
        <v>-0.98953946619824029</v>
      </c>
      <c r="AM488">
        <v>64</v>
      </c>
      <c r="AN488">
        <f>IF(ISNUMBER(AJ488),IF(AJ488&gt;=0.05,1,0),"")</f>
        <v>1</v>
      </c>
      <c r="AO488">
        <f>IF(ISNUMBER(AJ488),IF(AJ488&lt;0.005,1,0),"")</f>
        <v>0</v>
      </c>
      <c r="AQ488" s="34"/>
      <c r="AR488" s="35"/>
      <c r="AS488" s="36"/>
    </row>
    <row r="489" spans="1:45" ht="57" x14ac:dyDescent="0.45">
      <c r="A489" s="1" t="s">
        <v>88</v>
      </c>
      <c r="B489" s="1" t="s">
        <v>86</v>
      </c>
      <c r="C489" s="1">
        <v>182</v>
      </c>
      <c r="D489" s="1">
        <v>444.44</v>
      </c>
      <c r="E489" s="1">
        <v>-1.3</v>
      </c>
      <c r="F489" s="1">
        <v>3.5</v>
      </c>
      <c r="G489" s="1">
        <v>3.6</v>
      </c>
      <c r="H489" s="1">
        <v>1.35</v>
      </c>
      <c r="I489" s="1">
        <v>3.29</v>
      </c>
      <c r="J489" s="1">
        <v>3.0992000000000002</v>
      </c>
      <c r="K489" s="1" t="s">
        <v>83</v>
      </c>
      <c r="N489" s="1">
        <v>13.98</v>
      </c>
      <c r="O489" s="1">
        <v>2.1000000000000001E-2</v>
      </c>
      <c r="P489" s="1">
        <v>7.45</v>
      </c>
      <c r="Q489" s="1">
        <v>40</v>
      </c>
      <c r="R489" s="1" t="s">
        <v>82</v>
      </c>
      <c r="S489" s="1">
        <v>238.11</v>
      </c>
      <c r="T489" s="1">
        <v>92</v>
      </c>
      <c r="U489" s="1">
        <v>2.08</v>
      </c>
      <c r="V489" s="1">
        <v>-6.26</v>
      </c>
      <c r="W489" s="1">
        <v>0.3</v>
      </c>
      <c r="X489" s="1">
        <f t="shared" si="62"/>
        <v>300</v>
      </c>
      <c r="Y489" s="1">
        <v>9.4499999999999993</v>
      </c>
      <c r="AA489" s="1">
        <v>59.744086929257001</v>
      </c>
      <c r="AB489" s="1" t="s">
        <v>89</v>
      </c>
      <c r="AC489" s="1">
        <v>25</v>
      </c>
      <c r="AH489" s="1">
        <v>0.68075214594163602</v>
      </c>
      <c r="AJ489" s="1">
        <f>IF(ISNUMBER(AH489),1-AH489,"")</f>
        <v>0.31924785405836398</v>
      </c>
      <c r="AK489" s="1">
        <f>IF(AND(ISNUMBER(AJ489),AJ489&gt;0),LN(AJ489),"")</f>
        <v>-1.1417875059139626</v>
      </c>
      <c r="AM489">
        <v>64</v>
      </c>
      <c r="AN489">
        <f>IF(ISNUMBER(AJ489),IF(AJ489&gt;=0.05,1,0),"")</f>
        <v>1</v>
      </c>
      <c r="AO489">
        <f>IF(ISNUMBER(AJ489),IF(AJ489&lt;0.005,1,0),"")</f>
        <v>0</v>
      </c>
      <c r="AQ489" s="34"/>
      <c r="AR489" s="35"/>
      <c r="AS489" s="36"/>
    </row>
    <row r="490" spans="1:45" ht="57" x14ac:dyDescent="0.45">
      <c r="A490" s="1" t="s">
        <v>88</v>
      </c>
      <c r="B490" s="1" t="s">
        <v>86</v>
      </c>
      <c r="C490" s="1">
        <v>182</v>
      </c>
      <c r="D490" s="1">
        <v>444.44</v>
      </c>
      <c r="E490" s="1">
        <v>-1.3</v>
      </c>
      <c r="F490" s="1">
        <v>3.5</v>
      </c>
      <c r="G490" s="1">
        <v>3.6</v>
      </c>
      <c r="H490" s="1">
        <v>1.35</v>
      </c>
      <c r="I490" s="1">
        <v>3.29</v>
      </c>
      <c r="J490" s="1">
        <v>3.0992000000000002</v>
      </c>
      <c r="K490" s="1" t="s">
        <v>83</v>
      </c>
      <c r="N490" s="1">
        <v>13.98</v>
      </c>
      <c r="O490" s="1">
        <v>2.1000000000000001E-2</v>
      </c>
      <c r="P490" s="1">
        <v>7.45</v>
      </c>
      <c r="Q490" s="1">
        <v>40</v>
      </c>
      <c r="R490" s="1" t="s">
        <v>82</v>
      </c>
      <c r="S490" s="1">
        <v>238.11</v>
      </c>
      <c r="T490" s="1">
        <v>92</v>
      </c>
      <c r="U490" s="1">
        <v>2.08</v>
      </c>
      <c r="V490" s="1">
        <v>-6.26</v>
      </c>
      <c r="W490" s="1">
        <v>0.3</v>
      </c>
      <c r="X490" s="1">
        <f t="shared" si="62"/>
        <v>300</v>
      </c>
      <c r="Y490" s="1">
        <v>9.4499999999999993</v>
      </c>
      <c r="AA490" s="1">
        <v>79.590240775410905</v>
      </c>
      <c r="AB490" s="1" t="s">
        <v>89</v>
      </c>
      <c r="AC490" s="1">
        <v>25</v>
      </c>
      <c r="AH490" s="1">
        <v>0.69825214594163598</v>
      </c>
      <c r="AJ490" s="1">
        <f>IF(ISNUMBER(AH490),1-AH490,"")</f>
        <v>0.30174785405836402</v>
      </c>
      <c r="AK490" s="1">
        <f>IF(AND(ISNUMBER(AJ490),AJ490&gt;0),LN(AJ490),"")</f>
        <v>-1.1981635306839216</v>
      </c>
      <c r="AM490">
        <v>64</v>
      </c>
      <c r="AN490">
        <f>IF(ISNUMBER(AJ490),IF(AJ490&gt;=0.05,1,0),"")</f>
        <v>1</v>
      </c>
      <c r="AO490">
        <f>IF(ISNUMBER(AJ490),IF(AJ490&lt;0.005,1,0),"")</f>
        <v>0</v>
      </c>
      <c r="AQ490" s="34"/>
      <c r="AR490" s="35"/>
      <c r="AS490" s="36"/>
    </row>
    <row r="491" spans="1:45" ht="57" x14ac:dyDescent="0.45">
      <c r="A491" s="1" t="s">
        <v>88</v>
      </c>
      <c r="B491" s="1" t="s">
        <v>86</v>
      </c>
      <c r="C491" s="1">
        <v>182</v>
      </c>
      <c r="D491" s="1">
        <v>444.44</v>
      </c>
      <c r="E491" s="1">
        <v>-1.3</v>
      </c>
      <c r="F491" s="1">
        <v>3.5</v>
      </c>
      <c r="G491" s="1">
        <v>3.6</v>
      </c>
      <c r="H491" s="1">
        <v>1.35</v>
      </c>
      <c r="I491" s="1">
        <v>3.29</v>
      </c>
      <c r="J491" s="1">
        <v>3.0992000000000002</v>
      </c>
      <c r="K491" s="1" t="s">
        <v>83</v>
      </c>
      <c r="N491" s="1">
        <v>13.98</v>
      </c>
      <c r="O491" s="1">
        <v>2.1000000000000001E-2</v>
      </c>
      <c r="P491" s="1">
        <v>7.45</v>
      </c>
      <c r="Q491" s="1">
        <v>40</v>
      </c>
      <c r="R491" s="1" t="s">
        <v>82</v>
      </c>
      <c r="S491" s="1">
        <v>238.11</v>
      </c>
      <c r="T491" s="1">
        <v>92</v>
      </c>
      <c r="U491" s="1">
        <v>2.08</v>
      </c>
      <c r="V491" s="1">
        <v>-6.26</v>
      </c>
      <c r="W491" s="1">
        <v>0.3</v>
      </c>
      <c r="X491" s="1">
        <f t="shared" si="62"/>
        <v>300</v>
      </c>
      <c r="Y491" s="1">
        <v>9.4499999999999993</v>
      </c>
      <c r="AA491" s="1">
        <v>99.282548467718598</v>
      </c>
      <c r="AB491" s="1" t="s">
        <v>89</v>
      </c>
      <c r="AC491" s="1">
        <v>25</v>
      </c>
      <c r="AH491" s="1">
        <v>0.72075214594163595</v>
      </c>
      <c r="AJ491" s="1">
        <f>IF(ISNUMBER(AH491),1-AH491,"")</f>
        <v>0.27924785405836405</v>
      </c>
      <c r="AK491" s="1">
        <f>IF(AND(ISNUMBER(AJ491),AJ491&gt;0),LN(AJ491),"")</f>
        <v>-1.2756555257235394</v>
      </c>
      <c r="AM491">
        <v>64</v>
      </c>
      <c r="AN491">
        <f>IF(ISNUMBER(AJ491),IF(AJ491&gt;=0.05,1,0),"")</f>
        <v>1</v>
      </c>
      <c r="AO491">
        <f>IF(ISNUMBER(AJ491),IF(AJ491&lt;0.005,1,0),"")</f>
        <v>0</v>
      </c>
      <c r="AQ491" s="34"/>
      <c r="AR491" s="35"/>
      <c r="AS491" s="36"/>
    </row>
    <row r="492" spans="1:45" ht="57" x14ac:dyDescent="0.45">
      <c r="A492" s="1" t="s">
        <v>88</v>
      </c>
      <c r="B492" s="1" t="s">
        <v>86</v>
      </c>
      <c r="C492" s="1">
        <v>182</v>
      </c>
      <c r="D492" s="1">
        <v>444.44</v>
      </c>
      <c r="E492" s="1">
        <v>-1.3</v>
      </c>
      <c r="F492" s="1">
        <v>3.5</v>
      </c>
      <c r="G492" s="1">
        <v>3.6</v>
      </c>
      <c r="H492" s="1">
        <v>1.35</v>
      </c>
      <c r="I492" s="1">
        <v>3.29</v>
      </c>
      <c r="J492" s="1">
        <v>3.0992000000000002</v>
      </c>
      <c r="K492" s="1" t="s">
        <v>83</v>
      </c>
      <c r="N492" s="1">
        <v>13.98</v>
      </c>
      <c r="O492" s="1">
        <v>2.1000000000000001E-2</v>
      </c>
      <c r="P492" s="1">
        <v>7.45</v>
      </c>
      <c r="Q492" s="1">
        <v>40</v>
      </c>
      <c r="R492" s="1" t="s">
        <v>82</v>
      </c>
      <c r="S492" s="1">
        <v>238.11</v>
      </c>
      <c r="T492" s="1">
        <v>92</v>
      </c>
      <c r="U492" s="1">
        <v>2.08</v>
      </c>
      <c r="V492" s="1">
        <v>-6.26</v>
      </c>
      <c r="W492" s="1">
        <v>0.3</v>
      </c>
      <c r="X492" s="1">
        <f t="shared" si="62"/>
        <v>300</v>
      </c>
      <c r="Y492" s="1">
        <v>9.4499999999999993</v>
      </c>
      <c r="AA492" s="1">
        <v>119.43639462156401</v>
      </c>
      <c r="AB492" s="1" t="s">
        <v>89</v>
      </c>
      <c r="AC492" s="1">
        <v>25</v>
      </c>
      <c r="AH492" s="1">
        <v>0.72450214594163598</v>
      </c>
      <c r="AJ492" s="1">
        <f>IF(ISNUMBER(AH492),1-AH492,"")</f>
        <v>0.27549785405836402</v>
      </c>
      <c r="AK492" s="1">
        <f>IF(AND(ISNUMBER(AJ492),AJ492&gt;0),LN(AJ492),"")</f>
        <v>-1.2891754396813409</v>
      </c>
      <c r="AM492">
        <v>64</v>
      </c>
      <c r="AN492">
        <f>IF(ISNUMBER(AJ492),IF(AJ492&gt;=0.05,1,0),"")</f>
        <v>1</v>
      </c>
      <c r="AO492">
        <f>IF(ISNUMBER(AJ492),IF(AJ492&lt;0.005,1,0),"")</f>
        <v>0</v>
      </c>
      <c r="AQ492" s="34"/>
      <c r="AR492" s="35"/>
      <c r="AS492" s="36"/>
    </row>
    <row r="493" spans="1:45" ht="57" x14ac:dyDescent="0.45">
      <c r="A493" s="1" t="s">
        <v>90</v>
      </c>
      <c r="B493" s="1" t="s">
        <v>86</v>
      </c>
      <c r="C493" s="1">
        <v>182</v>
      </c>
      <c r="D493" s="1">
        <v>444.44</v>
      </c>
      <c r="E493" s="1">
        <v>-1.3</v>
      </c>
      <c r="F493" s="1">
        <v>3.5</v>
      </c>
      <c r="G493" s="1">
        <v>3.6</v>
      </c>
      <c r="H493" s="1">
        <v>1.35</v>
      </c>
      <c r="I493" s="1">
        <v>3.29</v>
      </c>
      <c r="J493" s="1">
        <v>3.0992000000000002</v>
      </c>
      <c r="K493" s="1" t="s">
        <v>83</v>
      </c>
      <c r="N493" s="1">
        <v>13.98</v>
      </c>
      <c r="O493" s="1">
        <v>2.1000000000000001E-2</v>
      </c>
      <c r="P493" s="1">
        <v>7.45</v>
      </c>
      <c r="Q493" s="1">
        <v>40</v>
      </c>
      <c r="R493" s="1" t="s">
        <v>82</v>
      </c>
      <c r="S493" s="1">
        <v>238.11</v>
      </c>
      <c r="T493" s="1">
        <v>92</v>
      </c>
      <c r="U493" s="1">
        <v>2.08</v>
      </c>
      <c r="V493" s="1">
        <v>-6.26</v>
      </c>
      <c r="W493" s="1">
        <v>0.1</v>
      </c>
      <c r="X493" s="1">
        <f t="shared" si="62"/>
        <v>100</v>
      </c>
      <c r="Y493" s="1">
        <v>6.3</v>
      </c>
      <c r="Z493" s="1">
        <v>0.11</v>
      </c>
      <c r="AA493" s="1">
        <v>0.29591836734688798</v>
      </c>
      <c r="AB493" s="1" t="s">
        <v>89</v>
      </c>
      <c r="AC493" s="1">
        <v>25</v>
      </c>
      <c r="AH493" s="1">
        <v>9.9999999999988987E-5</v>
      </c>
      <c r="AI493" s="1">
        <v>1.0506757272111708E-2</v>
      </c>
      <c r="AJ493" s="1">
        <f>IF(ISNUMBER(AH493),1-AH493,"")</f>
        <v>0.99990000000000001</v>
      </c>
      <c r="AK493" s="1">
        <f>IF(AND(ISNUMBER(AJ493),AJ493&gt;0),LN(AJ493),"")</f>
        <v>-1.0000500033334732E-4</v>
      </c>
      <c r="AM493">
        <v>65</v>
      </c>
      <c r="AN493">
        <f>IF(ISNUMBER(AJ493),IF(AJ493&gt;=0.05,1,0),"")</f>
        <v>1</v>
      </c>
      <c r="AO493">
        <f>IF(ISNUMBER(AJ493),IF(AJ493&lt;0.005,1,0),"")</f>
        <v>0</v>
      </c>
      <c r="AP493">
        <f>IFERROR(MATCH(0,AN493:AN500,0)-1,8)</f>
        <v>8</v>
      </c>
      <c r="AQ493" s="34">
        <f>IF(AP493&lt;3,"n&lt;3",IFERROR(-SLOPE(AK493:INDEX(AK493:AK500,AP493),AA493:INDEX(AA493:AA500,AP493)),"no fit"))</f>
        <v>1.0231471075691327E-2</v>
      </c>
      <c r="AR493" s="35">
        <f>IF(AP493&lt;3,"",IFERROR(RSQ(AK493:INDEX(AK493:AK500,AP493),AA493:INDEX(AA493:AA500,AP493)),"flat"))</f>
        <v>0.88747148935894393</v>
      </c>
      <c r="AS493" s="36">
        <f>IFERROR(AQ493/AI493,"")</f>
        <v>0.97379912857118356</v>
      </c>
    </row>
    <row r="494" spans="1:45" ht="57" x14ac:dyDescent="0.45">
      <c r="A494" s="1" t="s">
        <v>90</v>
      </c>
      <c r="B494" s="1" t="s">
        <v>86</v>
      </c>
      <c r="C494" s="1">
        <v>182</v>
      </c>
      <c r="D494" s="1">
        <v>444.44</v>
      </c>
      <c r="E494" s="1">
        <v>-1.3</v>
      </c>
      <c r="F494" s="1">
        <v>3.5</v>
      </c>
      <c r="G494" s="1">
        <v>3.6</v>
      </c>
      <c r="H494" s="1">
        <v>1.35</v>
      </c>
      <c r="I494" s="1">
        <v>3.29</v>
      </c>
      <c r="J494" s="1">
        <v>3.0992000000000002</v>
      </c>
      <c r="K494" s="1" t="s">
        <v>83</v>
      </c>
      <c r="N494" s="1">
        <v>13.98</v>
      </c>
      <c r="O494" s="1">
        <v>2.1000000000000001E-2</v>
      </c>
      <c r="P494" s="1">
        <v>7.45</v>
      </c>
      <c r="Q494" s="1">
        <v>40</v>
      </c>
      <c r="R494" s="1" t="s">
        <v>82</v>
      </c>
      <c r="S494" s="1">
        <v>238.11</v>
      </c>
      <c r="T494" s="1">
        <v>92</v>
      </c>
      <c r="U494" s="1">
        <v>2.08</v>
      </c>
      <c r="V494" s="1">
        <v>-6.26</v>
      </c>
      <c r="W494" s="1">
        <v>0.1</v>
      </c>
      <c r="X494" s="1">
        <f t="shared" si="62"/>
        <v>100</v>
      </c>
      <c r="Y494" s="1">
        <v>6.3</v>
      </c>
      <c r="Z494" s="1">
        <v>0.11</v>
      </c>
      <c r="AA494" s="1">
        <v>9.7959183673469603</v>
      </c>
      <c r="AB494" s="1" t="s">
        <v>89</v>
      </c>
      <c r="AC494" s="1">
        <v>25</v>
      </c>
      <c r="AH494" s="1">
        <v>0.21593220338982999</v>
      </c>
      <c r="AJ494" s="1">
        <f>IF(ISNUMBER(AH494),1-AH494,"")</f>
        <v>0.78406779661017001</v>
      </c>
      <c r="AK494" s="1">
        <f>IF(AND(ISNUMBER(AJ494),AJ494&gt;0),LN(AJ494),"")</f>
        <v>-0.24325978710242566</v>
      </c>
      <c r="AM494">
        <v>65</v>
      </c>
      <c r="AN494">
        <f>IF(ISNUMBER(AJ494),IF(AJ494&gt;=0.05,1,0),"")</f>
        <v>1</v>
      </c>
      <c r="AO494">
        <f>IF(ISNUMBER(AJ494),IF(AJ494&lt;0.005,1,0),"")</f>
        <v>0</v>
      </c>
      <c r="AQ494" s="34"/>
      <c r="AR494" s="35"/>
      <c r="AS494" s="36"/>
    </row>
    <row r="495" spans="1:45" ht="57" x14ac:dyDescent="0.45">
      <c r="A495" s="1" t="s">
        <v>90</v>
      </c>
      <c r="B495" s="1" t="s">
        <v>86</v>
      </c>
      <c r="C495" s="1">
        <v>182</v>
      </c>
      <c r="D495" s="1">
        <v>444.44</v>
      </c>
      <c r="E495" s="1">
        <v>-1.3</v>
      </c>
      <c r="F495" s="1">
        <v>3.5</v>
      </c>
      <c r="G495" s="1">
        <v>3.6</v>
      </c>
      <c r="H495" s="1">
        <v>1.35</v>
      </c>
      <c r="I495" s="1">
        <v>3.29</v>
      </c>
      <c r="J495" s="1">
        <v>3.0992000000000002</v>
      </c>
      <c r="K495" s="1" t="s">
        <v>83</v>
      </c>
      <c r="N495" s="1">
        <v>13.98</v>
      </c>
      <c r="O495" s="1">
        <v>2.1000000000000001E-2</v>
      </c>
      <c r="P495" s="1">
        <v>7.45</v>
      </c>
      <c r="Q495" s="1">
        <v>40</v>
      </c>
      <c r="R495" s="1" t="s">
        <v>82</v>
      </c>
      <c r="S495" s="1">
        <v>238.11</v>
      </c>
      <c r="T495" s="1">
        <v>92</v>
      </c>
      <c r="U495" s="1">
        <v>2.08</v>
      </c>
      <c r="V495" s="1">
        <v>-6.26</v>
      </c>
      <c r="W495" s="1">
        <v>0.1</v>
      </c>
      <c r="X495" s="1">
        <f t="shared" si="62"/>
        <v>100</v>
      </c>
      <c r="Y495" s="1">
        <v>6.3</v>
      </c>
      <c r="Z495" s="1">
        <v>0.11</v>
      </c>
      <c r="AA495" s="1">
        <v>19.887755102040799</v>
      </c>
      <c r="AB495" s="1" t="s">
        <v>89</v>
      </c>
      <c r="AC495" s="1">
        <v>25</v>
      </c>
      <c r="AH495" s="1">
        <v>0.40305084745762698</v>
      </c>
      <c r="AJ495" s="1">
        <f>IF(ISNUMBER(AH495),1-AH495,"")</f>
        <v>0.59694915254237302</v>
      </c>
      <c r="AK495" s="1">
        <f>IF(AND(ISNUMBER(AJ495),AJ495&gt;0),LN(AJ495),"")</f>
        <v>-0.51592334083765912</v>
      </c>
      <c r="AM495">
        <v>65</v>
      </c>
      <c r="AN495">
        <f>IF(ISNUMBER(AJ495),IF(AJ495&gt;=0.05,1,0),"")</f>
        <v>1</v>
      </c>
      <c r="AO495">
        <f>IF(ISNUMBER(AJ495),IF(AJ495&lt;0.005,1,0),"")</f>
        <v>0</v>
      </c>
      <c r="AQ495" s="34"/>
      <c r="AR495" s="35"/>
      <c r="AS495" s="36"/>
    </row>
    <row r="496" spans="1:45" ht="57" x14ac:dyDescent="0.45">
      <c r="A496" s="1" t="s">
        <v>90</v>
      </c>
      <c r="B496" s="1" t="s">
        <v>86</v>
      </c>
      <c r="C496" s="1">
        <v>182</v>
      </c>
      <c r="D496" s="1">
        <v>444.44</v>
      </c>
      <c r="E496" s="1">
        <v>-1.3</v>
      </c>
      <c r="F496" s="1">
        <v>3.5</v>
      </c>
      <c r="G496" s="1">
        <v>3.6</v>
      </c>
      <c r="H496" s="1">
        <v>1.35</v>
      </c>
      <c r="I496" s="1">
        <v>3.29</v>
      </c>
      <c r="J496" s="1">
        <v>3.0992000000000002</v>
      </c>
      <c r="K496" s="1" t="s">
        <v>83</v>
      </c>
      <c r="N496" s="1">
        <v>13.98</v>
      </c>
      <c r="O496" s="1">
        <v>2.1000000000000001E-2</v>
      </c>
      <c r="P496" s="1">
        <v>7.45</v>
      </c>
      <c r="Q496" s="1">
        <v>40</v>
      </c>
      <c r="R496" s="1" t="s">
        <v>82</v>
      </c>
      <c r="S496" s="1">
        <v>238.11</v>
      </c>
      <c r="T496" s="1">
        <v>92</v>
      </c>
      <c r="U496" s="1">
        <v>2.08</v>
      </c>
      <c r="V496" s="1">
        <v>-6.26</v>
      </c>
      <c r="W496" s="1">
        <v>0.1</v>
      </c>
      <c r="X496" s="1">
        <f t="shared" si="62"/>
        <v>100</v>
      </c>
      <c r="Y496" s="1">
        <v>6.3</v>
      </c>
      <c r="Z496" s="1">
        <v>0.11</v>
      </c>
      <c r="AA496" s="1">
        <v>40.071428571428498</v>
      </c>
      <c r="AB496" s="1" t="s">
        <v>89</v>
      </c>
      <c r="AC496" s="1">
        <v>25</v>
      </c>
      <c r="AH496" s="1">
        <v>0.56872881355932203</v>
      </c>
      <c r="AJ496" s="1">
        <f>IF(ISNUMBER(AH496),1-AH496,"")</f>
        <v>0.43127118644067797</v>
      </c>
      <c r="AK496" s="1">
        <f>IF(AND(ISNUMBER(AJ496),AJ496&gt;0),LN(AJ496),"")</f>
        <v>-0.84101818386492344</v>
      </c>
      <c r="AM496">
        <v>65</v>
      </c>
      <c r="AN496">
        <f>IF(ISNUMBER(AJ496),IF(AJ496&gt;=0.05,1,0),"")</f>
        <v>1</v>
      </c>
      <c r="AO496">
        <f>IF(ISNUMBER(AJ496),IF(AJ496&lt;0.005,1,0),"")</f>
        <v>0</v>
      </c>
      <c r="AQ496" s="34"/>
      <c r="AR496" s="35"/>
      <c r="AS496" s="36"/>
    </row>
    <row r="497" spans="1:45" ht="57" x14ac:dyDescent="0.45">
      <c r="A497" s="1" t="s">
        <v>90</v>
      </c>
      <c r="B497" s="1" t="s">
        <v>86</v>
      </c>
      <c r="C497" s="1">
        <v>182</v>
      </c>
      <c r="D497" s="1">
        <v>444.44</v>
      </c>
      <c r="E497" s="1">
        <v>-1.3</v>
      </c>
      <c r="F497" s="1">
        <v>3.5</v>
      </c>
      <c r="G497" s="1">
        <v>3.6</v>
      </c>
      <c r="H497" s="1">
        <v>1.35</v>
      </c>
      <c r="I497" s="1">
        <v>3.29</v>
      </c>
      <c r="J497" s="1">
        <v>3.0992000000000002</v>
      </c>
      <c r="K497" s="1" t="s">
        <v>83</v>
      </c>
      <c r="N497" s="1">
        <v>13.98</v>
      </c>
      <c r="O497" s="1">
        <v>2.1000000000000001E-2</v>
      </c>
      <c r="P497" s="1">
        <v>7.45</v>
      </c>
      <c r="Q497" s="1">
        <v>40</v>
      </c>
      <c r="R497" s="1" t="s">
        <v>82</v>
      </c>
      <c r="S497" s="1">
        <v>238.11</v>
      </c>
      <c r="T497" s="1">
        <v>92</v>
      </c>
      <c r="U497" s="1">
        <v>2.08</v>
      </c>
      <c r="V497" s="1">
        <v>-6.26</v>
      </c>
      <c r="W497" s="1">
        <v>0.1</v>
      </c>
      <c r="X497" s="1">
        <f t="shared" si="62"/>
        <v>100</v>
      </c>
      <c r="Y497" s="1">
        <v>6.3</v>
      </c>
      <c r="Z497" s="1">
        <v>0.11</v>
      </c>
      <c r="AA497" s="1">
        <v>60.4897959183673</v>
      </c>
      <c r="AB497" s="1" t="s">
        <v>89</v>
      </c>
      <c r="AC497" s="1">
        <v>25</v>
      </c>
      <c r="AH497" s="1">
        <v>0.63694915254237294</v>
      </c>
      <c r="AJ497" s="1">
        <f>IF(ISNUMBER(AH497),1-AH497,"")</f>
        <v>0.36305084745762706</v>
      </c>
      <c r="AK497" s="1">
        <f>IF(AND(ISNUMBER(AJ497),AJ497&gt;0),LN(AJ497),"")</f>
        <v>-1.0132123788861169</v>
      </c>
      <c r="AM497">
        <v>65</v>
      </c>
      <c r="AN497">
        <f>IF(ISNUMBER(AJ497),IF(AJ497&gt;=0.05,1,0),"")</f>
        <v>1</v>
      </c>
      <c r="AO497">
        <f>IF(ISNUMBER(AJ497),IF(AJ497&lt;0.005,1,0),"")</f>
        <v>0</v>
      </c>
      <c r="AQ497" s="34"/>
      <c r="AR497" s="35"/>
      <c r="AS497" s="36"/>
    </row>
    <row r="498" spans="1:45" ht="57" x14ac:dyDescent="0.45">
      <c r="A498" s="1" t="s">
        <v>90</v>
      </c>
      <c r="B498" s="1" t="s">
        <v>86</v>
      </c>
      <c r="C498" s="1">
        <v>182</v>
      </c>
      <c r="D498" s="1">
        <v>444.44</v>
      </c>
      <c r="E498" s="1">
        <v>-1.3</v>
      </c>
      <c r="F498" s="1">
        <v>3.5</v>
      </c>
      <c r="G498" s="1">
        <v>3.6</v>
      </c>
      <c r="H498" s="1">
        <v>1.35</v>
      </c>
      <c r="I498" s="1">
        <v>3.29</v>
      </c>
      <c r="J498" s="1">
        <v>3.0992000000000002</v>
      </c>
      <c r="K498" s="1" t="s">
        <v>83</v>
      </c>
      <c r="N498" s="1">
        <v>13.98</v>
      </c>
      <c r="O498" s="1">
        <v>2.1000000000000001E-2</v>
      </c>
      <c r="P498" s="1">
        <v>7.45</v>
      </c>
      <c r="Q498" s="1">
        <v>40</v>
      </c>
      <c r="R498" s="1" t="s">
        <v>82</v>
      </c>
      <c r="S498" s="1">
        <v>238.11</v>
      </c>
      <c r="T498" s="1">
        <v>92</v>
      </c>
      <c r="U498" s="1">
        <v>2.08</v>
      </c>
      <c r="V498" s="1">
        <v>-6.26</v>
      </c>
      <c r="W498" s="1">
        <v>0.1</v>
      </c>
      <c r="X498" s="1">
        <f t="shared" si="62"/>
        <v>100</v>
      </c>
      <c r="Y498" s="1">
        <v>6.3</v>
      </c>
      <c r="Z498" s="1">
        <v>0.11</v>
      </c>
      <c r="AA498" s="1">
        <v>80.673469387755006</v>
      </c>
      <c r="AB498" s="1" t="s">
        <v>89</v>
      </c>
      <c r="AC498" s="1">
        <v>25</v>
      </c>
      <c r="AH498" s="1">
        <v>0.67593220338983095</v>
      </c>
      <c r="AJ498" s="1">
        <f>IF(ISNUMBER(AH498),1-AH498,"")</f>
        <v>0.32406779661016905</v>
      </c>
      <c r="AK498" s="1">
        <f>IF(AND(ISNUMBER(AJ498),AJ498&gt;0),LN(AJ498),"")</f>
        <v>-1.1268025362824656</v>
      </c>
      <c r="AM498">
        <v>65</v>
      </c>
      <c r="AN498">
        <f>IF(ISNUMBER(AJ498),IF(AJ498&gt;=0.05,1,0),"")</f>
        <v>1</v>
      </c>
      <c r="AO498">
        <f>IF(ISNUMBER(AJ498),IF(AJ498&lt;0.005,1,0),"")</f>
        <v>0</v>
      </c>
      <c r="AQ498" s="34"/>
      <c r="AR498" s="35"/>
      <c r="AS498" s="36"/>
    </row>
    <row r="499" spans="1:45" ht="57" x14ac:dyDescent="0.45">
      <c r="A499" s="1" t="s">
        <v>90</v>
      </c>
      <c r="B499" s="1" t="s">
        <v>86</v>
      </c>
      <c r="C499" s="1">
        <v>182</v>
      </c>
      <c r="D499" s="1">
        <v>444.44</v>
      </c>
      <c r="E499" s="1">
        <v>-1.3</v>
      </c>
      <c r="F499" s="1">
        <v>3.5</v>
      </c>
      <c r="G499" s="1">
        <v>3.6</v>
      </c>
      <c r="H499" s="1">
        <v>1.35</v>
      </c>
      <c r="I499" s="1">
        <v>3.29</v>
      </c>
      <c r="J499" s="1">
        <v>3.0992000000000002</v>
      </c>
      <c r="K499" s="1" t="s">
        <v>83</v>
      </c>
      <c r="N499" s="1">
        <v>13.98</v>
      </c>
      <c r="O499" s="1">
        <v>2.1000000000000001E-2</v>
      </c>
      <c r="P499" s="1">
        <v>7.45</v>
      </c>
      <c r="Q499" s="1">
        <v>40</v>
      </c>
      <c r="R499" s="1" t="s">
        <v>82</v>
      </c>
      <c r="S499" s="1">
        <v>238.11</v>
      </c>
      <c r="T499" s="1">
        <v>92</v>
      </c>
      <c r="U499" s="1">
        <v>2.08</v>
      </c>
      <c r="V499" s="1">
        <v>-6.26</v>
      </c>
      <c r="W499" s="1">
        <v>0.1</v>
      </c>
      <c r="X499" s="1">
        <f t="shared" si="62"/>
        <v>100</v>
      </c>
      <c r="Y499" s="1">
        <v>6.3</v>
      </c>
      <c r="Z499" s="1">
        <v>0.11</v>
      </c>
      <c r="AA499" s="1">
        <v>100.85714285714199</v>
      </c>
      <c r="AB499" s="1" t="s">
        <v>89</v>
      </c>
      <c r="AC499" s="1">
        <v>25</v>
      </c>
      <c r="AH499" s="1">
        <v>0.71491525423728897</v>
      </c>
      <c r="AJ499" s="1">
        <f>IF(ISNUMBER(AH499),1-AH499,"")</f>
        <v>0.28508474576271103</v>
      </c>
      <c r="AK499" s="1">
        <f>IF(AND(ISNUMBER(AJ499),AJ499&gt;0),LN(AJ499),"")</f>
        <v>-1.2549687893609203</v>
      </c>
      <c r="AM499">
        <v>65</v>
      </c>
      <c r="AN499">
        <f>IF(ISNUMBER(AJ499),IF(AJ499&gt;=0.05,1,0),"")</f>
        <v>1</v>
      </c>
      <c r="AO499">
        <f>IF(ISNUMBER(AJ499),IF(AJ499&lt;0.005,1,0),"")</f>
        <v>0</v>
      </c>
      <c r="AQ499" s="34"/>
      <c r="AR499" s="35"/>
      <c r="AS499" s="36"/>
    </row>
    <row r="500" spans="1:45" ht="57" x14ac:dyDescent="0.45">
      <c r="A500" s="1" t="s">
        <v>90</v>
      </c>
      <c r="B500" s="1" t="s">
        <v>86</v>
      </c>
      <c r="C500" s="1">
        <v>182</v>
      </c>
      <c r="D500" s="1">
        <v>444.44</v>
      </c>
      <c r="E500" s="1">
        <v>-1.3</v>
      </c>
      <c r="F500" s="1">
        <v>3.5</v>
      </c>
      <c r="G500" s="1">
        <v>3.6</v>
      </c>
      <c r="H500" s="1">
        <v>1.35</v>
      </c>
      <c r="I500" s="1">
        <v>3.29</v>
      </c>
      <c r="J500" s="1">
        <v>3.0992000000000002</v>
      </c>
      <c r="K500" s="1" t="s">
        <v>83</v>
      </c>
      <c r="N500" s="1">
        <v>13.98</v>
      </c>
      <c r="O500" s="1">
        <v>2.1000000000000001E-2</v>
      </c>
      <c r="P500" s="1">
        <v>7.45</v>
      </c>
      <c r="Q500" s="1">
        <v>40</v>
      </c>
      <c r="R500" s="1" t="s">
        <v>82</v>
      </c>
      <c r="S500" s="1">
        <v>238.11</v>
      </c>
      <c r="T500" s="1">
        <v>92</v>
      </c>
      <c r="U500" s="1">
        <v>2.08</v>
      </c>
      <c r="V500" s="1">
        <v>-6.26</v>
      </c>
      <c r="W500" s="1">
        <v>0.1</v>
      </c>
      <c r="X500" s="1">
        <f t="shared" si="62"/>
        <v>100</v>
      </c>
      <c r="Y500" s="1">
        <v>6.3</v>
      </c>
      <c r="Z500" s="1">
        <v>0.11</v>
      </c>
      <c r="AA500" s="1">
        <v>121.04081632653001</v>
      </c>
      <c r="AB500" s="1" t="s">
        <v>89</v>
      </c>
      <c r="AC500" s="1">
        <v>25</v>
      </c>
      <c r="AH500" s="1">
        <v>0.71881355932203395</v>
      </c>
      <c r="AJ500" s="1">
        <f>IF(ISNUMBER(AH500),1-AH500,"")</f>
        <v>0.28118644067796605</v>
      </c>
      <c r="AK500" s="1">
        <f>IF(AND(ISNUMBER(AJ500),AJ500&gt;0),LN(AJ500),"")</f>
        <v>-1.2687373397033666</v>
      </c>
      <c r="AM500">
        <v>65</v>
      </c>
      <c r="AN500">
        <f>IF(ISNUMBER(AJ500),IF(AJ500&gt;=0.05,1,0),"")</f>
        <v>1</v>
      </c>
      <c r="AO500">
        <f>IF(ISNUMBER(AJ500),IF(AJ500&lt;0.005,1,0),"")</f>
        <v>0</v>
      </c>
      <c r="AQ500" s="34"/>
      <c r="AR500" s="35"/>
      <c r="AS500" s="36"/>
    </row>
    <row r="501" spans="1:45" ht="57" x14ac:dyDescent="0.45">
      <c r="A501" s="1" t="s">
        <v>90</v>
      </c>
      <c r="B501" s="1" t="s">
        <v>86</v>
      </c>
      <c r="C501" s="1">
        <v>182</v>
      </c>
      <c r="D501" s="1">
        <v>444.44</v>
      </c>
      <c r="E501" s="1">
        <v>-1.3</v>
      </c>
      <c r="F501" s="1">
        <v>3.5</v>
      </c>
      <c r="G501" s="1">
        <v>3.6</v>
      </c>
      <c r="H501" s="1">
        <v>1.35</v>
      </c>
      <c r="I501" s="1">
        <v>3.29</v>
      </c>
      <c r="J501" s="1">
        <v>3.0992000000000002</v>
      </c>
      <c r="K501" s="1" t="s">
        <v>83</v>
      </c>
      <c r="N501" s="1">
        <v>13.98</v>
      </c>
      <c r="O501" s="1">
        <v>2.1000000000000001E-2</v>
      </c>
      <c r="P501" s="1">
        <v>7.45</v>
      </c>
      <c r="Q501" s="1">
        <v>40</v>
      </c>
      <c r="R501" s="1" t="s">
        <v>82</v>
      </c>
      <c r="S501" s="1">
        <v>238.11</v>
      </c>
      <c r="T501" s="1">
        <v>92</v>
      </c>
      <c r="U501" s="1">
        <v>2.08</v>
      </c>
      <c r="V501" s="1">
        <v>-6.26</v>
      </c>
      <c r="W501" s="1">
        <v>0.2</v>
      </c>
      <c r="X501" s="1">
        <f t="shared" si="62"/>
        <v>200</v>
      </c>
      <c r="Y501" s="1">
        <v>6.3</v>
      </c>
      <c r="Z501" s="1">
        <v>0.11</v>
      </c>
      <c r="AA501" s="1">
        <v>-0.29591836734688798</v>
      </c>
      <c r="AB501" s="1" t="s">
        <v>89</v>
      </c>
      <c r="AC501" s="1">
        <v>25</v>
      </c>
      <c r="AH501" s="1">
        <v>1.1199999999999988E-2</v>
      </c>
      <c r="AI501" s="1">
        <v>1.0574798491691309E-2</v>
      </c>
      <c r="AJ501" s="1">
        <f>IF(ISNUMBER(AH501),1-AH501,"")</f>
        <v>0.98880000000000001</v>
      </c>
      <c r="AK501" s="1">
        <f>IF(AND(ISNUMBER(AJ501),AJ501&gt;0),LN(AJ501),"")</f>
        <v>-1.1263192278710714E-2</v>
      </c>
      <c r="AM501">
        <v>66</v>
      </c>
      <c r="AN501">
        <f>IF(ISNUMBER(AJ501),IF(AJ501&gt;=0.05,1,0),"")</f>
        <v>1</v>
      </c>
      <c r="AO501">
        <f>IF(ISNUMBER(AJ501),IF(AJ501&lt;0.005,1,0),"")</f>
        <v>0</v>
      </c>
      <c r="AP501">
        <f>IFERROR(MATCH(0,AN501:AN508,0)-1,8)</f>
        <v>8</v>
      </c>
      <c r="AQ501" s="34">
        <f>IF(AP501&lt;3,"n&lt;3",IFERROR(-SLOPE(AK501:INDEX(AK501:AK508,AP501),AA501:INDEX(AA501:AA508,AP501)),"no fit"))</f>
        <v>1.0011809421532018E-2</v>
      </c>
      <c r="AR501" s="35">
        <f>IF(AP501&lt;3,"",IFERROR(RSQ(AK501:INDEX(AK501:AK508,AP501),AA501:INDEX(AA501:AA508,AP501)),"flat"))</f>
        <v>0.86098514926012015</v>
      </c>
      <c r="AS501" s="36">
        <f>IFERROR(AQ501/AI501,"")</f>
        <v>0.94676124839620956</v>
      </c>
    </row>
    <row r="502" spans="1:45" ht="57" x14ac:dyDescent="0.45">
      <c r="A502" s="1" t="s">
        <v>90</v>
      </c>
      <c r="B502" s="1" t="s">
        <v>86</v>
      </c>
      <c r="C502" s="1">
        <v>182</v>
      </c>
      <c r="D502" s="1">
        <v>444.44</v>
      </c>
      <c r="E502" s="1">
        <v>-1.3</v>
      </c>
      <c r="F502" s="1">
        <v>3.5</v>
      </c>
      <c r="G502" s="1">
        <v>3.6</v>
      </c>
      <c r="H502" s="1">
        <v>1.35</v>
      </c>
      <c r="I502" s="1">
        <v>3.29</v>
      </c>
      <c r="J502" s="1">
        <v>3.0992000000000002</v>
      </c>
      <c r="K502" s="1" t="s">
        <v>83</v>
      </c>
      <c r="N502" s="1">
        <v>13.98</v>
      </c>
      <c r="O502" s="1">
        <v>2.1000000000000001E-2</v>
      </c>
      <c r="P502" s="1">
        <v>7.45</v>
      </c>
      <c r="Q502" s="1">
        <v>40</v>
      </c>
      <c r="R502" s="1" t="s">
        <v>82</v>
      </c>
      <c r="S502" s="1">
        <v>238.11</v>
      </c>
      <c r="T502" s="1">
        <v>92</v>
      </c>
      <c r="U502" s="1">
        <v>2.08</v>
      </c>
      <c r="V502" s="1">
        <v>-6.26</v>
      </c>
      <c r="W502" s="1">
        <v>0.2</v>
      </c>
      <c r="X502" s="1">
        <f t="shared" si="62"/>
        <v>200</v>
      </c>
      <c r="Y502" s="1">
        <v>6.3</v>
      </c>
      <c r="Z502" s="1">
        <v>0.11</v>
      </c>
      <c r="AA502" s="1">
        <v>10.030612244897901</v>
      </c>
      <c r="AB502" s="1" t="s">
        <v>89</v>
      </c>
      <c r="AC502" s="1">
        <v>25</v>
      </c>
      <c r="AH502" s="1">
        <v>0.26466101694915201</v>
      </c>
      <c r="AJ502" s="1">
        <f>IF(ISNUMBER(AH502),1-AH502,"")</f>
        <v>0.73533898305084799</v>
      </c>
      <c r="AK502" s="1">
        <f>IF(AND(ISNUMBER(AJ502),AJ502&gt;0),LN(AJ502),"")</f>
        <v>-0.30742368466026571</v>
      </c>
      <c r="AM502">
        <v>66</v>
      </c>
      <c r="AN502">
        <f>IF(ISNUMBER(AJ502),IF(AJ502&gt;=0.05,1,0),"")</f>
        <v>1</v>
      </c>
      <c r="AO502">
        <f>IF(ISNUMBER(AJ502),IF(AJ502&lt;0.005,1,0),"")</f>
        <v>0</v>
      </c>
      <c r="AQ502" s="34"/>
      <c r="AR502" s="35"/>
      <c r="AS502" s="36"/>
    </row>
    <row r="503" spans="1:45" ht="57" x14ac:dyDescent="0.45">
      <c r="A503" s="1" t="s">
        <v>90</v>
      </c>
      <c r="B503" s="1" t="s">
        <v>86</v>
      </c>
      <c r="C503" s="1">
        <v>182</v>
      </c>
      <c r="D503" s="1">
        <v>444.44</v>
      </c>
      <c r="E503" s="1">
        <v>-1.3</v>
      </c>
      <c r="F503" s="1">
        <v>3.5</v>
      </c>
      <c r="G503" s="1">
        <v>3.6</v>
      </c>
      <c r="H503" s="1">
        <v>1.35</v>
      </c>
      <c r="I503" s="1">
        <v>3.29</v>
      </c>
      <c r="J503" s="1">
        <v>3.0992000000000002</v>
      </c>
      <c r="K503" s="1" t="s">
        <v>83</v>
      </c>
      <c r="N503" s="1">
        <v>13.98</v>
      </c>
      <c r="O503" s="1">
        <v>2.1000000000000001E-2</v>
      </c>
      <c r="P503" s="1">
        <v>7.45</v>
      </c>
      <c r="Q503" s="1">
        <v>40</v>
      </c>
      <c r="R503" s="1" t="s">
        <v>82</v>
      </c>
      <c r="S503" s="1">
        <v>238.11</v>
      </c>
      <c r="T503" s="1">
        <v>92</v>
      </c>
      <c r="U503" s="1">
        <v>2.08</v>
      </c>
      <c r="V503" s="1">
        <v>-6.26</v>
      </c>
      <c r="W503" s="1">
        <v>0.2</v>
      </c>
      <c r="X503" s="1">
        <f t="shared" si="62"/>
        <v>200</v>
      </c>
      <c r="Y503" s="1">
        <v>6.3</v>
      </c>
      <c r="Z503" s="1">
        <v>0.11</v>
      </c>
      <c r="AA503" s="1">
        <v>19.6530612244898</v>
      </c>
      <c r="AB503" s="1" t="s">
        <v>89</v>
      </c>
      <c r="AC503" s="1">
        <v>25</v>
      </c>
      <c r="AH503" s="1">
        <v>0.42838983050847501</v>
      </c>
      <c r="AJ503" s="1">
        <f>IF(ISNUMBER(AH503),1-AH503,"")</f>
        <v>0.57161016949152499</v>
      </c>
      <c r="AK503" s="1">
        <f>IF(AND(ISNUMBER(AJ503),AJ503&gt;0),LN(AJ503),"")</f>
        <v>-0.55929804181190068</v>
      </c>
      <c r="AM503">
        <v>66</v>
      </c>
      <c r="AN503">
        <f>IF(ISNUMBER(AJ503),IF(AJ503&gt;=0.05,1,0),"")</f>
        <v>1</v>
      </c>
      <c r="AO503">
        <f>IF(ISNUMBER(AJ503),IF(AJ503&lt;0.005,1,0),"")</f>
        <v>0</v>
      </c>
      <c r="AQ503" s="34"/>
      <c r="AR503" s="35"/>
      <c r="AS503" s="36"/>
    </row>
    <row r="504" spans="1:45" ht="57" x14ac:dyDescent="0.45">
      <c r="A504" s="1" t="s">
        <v>90</v>
      </c>
      <c r="B504" s="1" t="s">
        <v>86</v>
      </c>
      <c r="C504" s="1">
        <v>182</v>
      </c>
      <c r="D504" s="1">
        <v>444.44</v>
      </c>
      <c r="E504" s="1">
        <v>-1.3</v>
      </c>
      <c r="F504" s="1">
        <v>3.5</v>
      </c>
      <c r="G504" s="1">
        <v>3.6</v>
      </c>
      <c r="H504" s="1">
        <v>1.35</v>
      </c>
      <c r="I504" s="1">
        <v>3.29</v>
      </c>
      <c r="J504" s="1">
        <v>3.0992000000000002</v>
      </c>
      <c r="K504" s="1" t="s">
        <v>83</v>
      </c>
      <c r="N504" s="1">
        <v>13.98</v>
      </c>
      <c r="O504" s="1">
        <v>2.1000000000000001E-2</v>
      </c>
      <c r="P504" s="1">
        <v>7.45</v>
      </c>
      <c r="Q504" s="1">
        <v>40</v>
      </c>
      <c r="R504" s="1" t="s">
        <v>82</v>
      </c>
      <c r="S504" s="1">
        <v>238.11</v>
      </c>
      <c r="T504" s="1">
        <v>92</v>
      </c>
      <c r="U504" s="1">
        <v>2.08</v>
      </c>
      <c r="V504" s="1">
        <v>-6.26</v>
      </c>
      <c r="W504" s="1">
        <v>0.2</v>
      </c>
      <c r="X504" s="1">
        <f t="shared" si="62"/>
        <v>200</v>
      </c>
      <c r="Y504" s="1">
        <v>6.3</v>
      </c>
      <c r="Z504" s="1">
        <v>0.11</v>
      </c>
      <c r="AA504" s="1">
        <v>40.071428571428498</v>
      </c>
      <c r="AB504" s="1" t="s">
        <v>89</v>
      </c>
      <c r="AC504" s="1">
        <v>25</v>
      </c>
      <c r="AH504" s="1">
        <v>0.59796610169491604</v>
      </c>
      <c r="AJ504" s="1">
        <f>IF(ISNUMBER(AH504),1-AH504,"")</f>
        <v>0.40203389830508396</v>
      </c>
      <c r="AK504" s="1">
        <f>IF(AND(ISNUMBER(AJ504),AJ504&gt;0),LN(AJ504),"")</f>
        <v>-0.9112188697761967</v>
      </c>
      <c r="AM504">
        <v>66</v>
      </c>
      <c r="AN504">
        <f>IF(ISNUMBER(AJ504),IF(AJ504&gt;=0.05,1,0),"")</f>
        <v>1</v>
      </c>
      <c r="AO504">
        <f>IF(ISNUMBER(AJ504),IF(AJ504&lt;0.005,1,0),"")</f>
        <v>0</v>
      </c>
      <c r="AQ504" s="34"/>
      <c r="AR504" s="35"/>
      <c r="AS504" s="36"/>
    </row>
    <row r="505" spans="1:45" ht="57" x14ac:dyDescent="0.45">
      <c r="A505" s="1" t="s">
        <v>90</v>
      </c>
      <c r="B505" s="1" t="s">
        <v>86</v>
      </c>
      <c r="C505" s="1">
        <v>182</v>
      </c>
      <c r="D505" s="1">
        <v>444.44</v>
      </c>
      <c r="E505" s="1">
        <v>-1.3</v>
      </c>
      <c r="F505" s="1">
        <v>3.5</v>
      </c>
      <c r="G505" s="1">
        <v>3.6</v>
      </c>
      <c r="H505" s="1">
        <v>1.35</v>
      </c>
      <c r="I505" s="1">
        <v>3.29</v>
      </c>
      <c r="J505" s="1">
        <v>3.0992000000000002</v>
      </c>
      <c r="K505" s="1" t="s">
        <v>83</v>
      </c>
      <c r="N505" s="1">
        <v>13.98</v>
      </c>
      <c r="O505" s="1">
        <v>2.1000000000000001E-2</v>
      </c>
      <c r="P505" s="1">
        <v>7.45</v>
      </c>
      <c r="Q505" s="1">
        <v>40</v>
      </c>
      <c r="R505" s="1" t="s">
        <v>82</v>
      </c>
      <c r="S505" s="1">
        <v>238.11</v>
      </c>
      <c r="T505" s="1">
        <v>92</v>
      </c>
      <c r="U505" s="1">
        <v>2.08</v>
      </c>
      <c r="V505" s="1">
        <v>-6.26</v>
      </c>
      <c r="W505" s="1">
        <v>0.2</v>
      </c>
      <c r="X505" s="1">
        <f t="shared" si="62"/>
        <v>200</v>
      </c>
      <c r="Y505" s="1">
        <v>6.3</v>
      </c>
      <c r="Z505" s="1">
        <v>0.11</v>
      </c>
      <c r="AA505" s="1">
        <v>60.4897959183673</v>
      </c>
      <c r="AB505" s="1" t="s">
        <v>89</v>
      </c>
      <c r="AC505" s="1">
        <v>25</v>
      </c>
      <c r="AH505" s="1">
        <v>0.66033898305084793</v>
      </c>
      <c r="AJ505" s="1">
        <f>IF(ISNUMBER(AH505),1-AH505,"")</f>
        <v>0.33966101694915207</v>
      </c>
      <c r="AK505" s="1">
        <f>IF(AND(ISNUMBER(AJ505),AJ505&gt;0),LN(AJ505),"")</f>
        <v>-1.0798071676890568</v>
      </c>
      <c r="AM505">
        <v>66</v>
      </c>
      <c r="AN505">
        <f>IF(ISNUMBER(AJ505),IF(AJ505&gt;=0.05,1,0),"")</f>
        <v>1</v>
      </c>
      <c r="AO505">
        <f>IF(ISNUMBER(AJ505),IF(AJ505&lt;0.005,1,0),"")</f>
        <v>0</v>
      </c>
      <c r="AQ505" s="34"/>
      <c r="AR505" s="35"/>
      <c r="AS505" s="36"/>
    </row>
    <row r="506" spans="1:45" ht="57" x14ac:dyDescent="0.45">
      <c r="A506" s="1" t="s">
        <v>90</v>
      </c>
      <c r="B506" s="1" t="s">
        <v>86</v>
      </c>
      <c r="C506" s="1">
        <v>182</v>
      </c>
      <c r="D506" s="1">
        <v>444.44</v>
      </c>
      <c r="E506" s="1">
        <v>-1.3</v>
      </c>
      <c r="F506" s="1">
        <v>3.5</v>
      </c>
      <c r="G506" s="1">
        <v>3.6</v>
      </c>
      <c r="H506" s="1">
        <v>1.35</v>
      </c>
      <c r="I506" s="1">
        <v>3.29</v>
      </c>
      <c r="J506" s="1">
        <v>3.0992000000000002</v>
      </c>
      <c r="K506" s="1" t="s">
        <v>83</v>
      </c>
      <c r="N506" s="1">
        <v>13.98</v>
      </c>
      <c r="O506" s="1">
        <v>2.1000000000000001E-2</v>
      </c>
      <c r="P506" s="1">
        <v>7.45</v>
      </c>
      <c r="Q506" s="1">
        <v>40</v>
      </c>
      <c r="R506" s="1" t="s">
        <v>82</v>
      </c>
      <c r="S506" s="1">
        <v>238.11</v>
      </c>
      <c r="T506" s="1">
        <v>92</v>
      </c>
      <c r="U506" s="1">
        <v>2.08</v>
      </c>
      <c r="V506" s="1">
        <v>-6.26</v>
      </c>
      <c r="W506" s="1">
        <v>0.2</v>
      </c>
      <c r="X506" s="1">
        <f t="shared" si="62"/>
        <v>200</v>
      </c>
      <c r="Y506" s="1">
        <v>6.3</v>
      </c>
      <c r="Z506" s="1">
        <v>0.11</v>
      </c>
      <c r="AA506" s="1">
        <v>80.908163265306101</v>
      </c>
      <c r="AB506" s="1" t="s">
        <v>89</v>
      </c>
      <c r="AC506" s="1">
        <v>25</v>
      </c>
      <c r="AH506" s="1">
        <v>0.69347457627118703</v>
      </c>
      <c r="AJ506" s="1">
        <f>IF(ISNUMBER(AH506),1-AH506,"")</f>
        <v>0.30652542372881297</v>
      </c>
      <c r="AK506" s="1">
        <f>IF(AND(ISNUMBER(AJ506),AJ506&gt;0),LN(AJ506),"")</f>
        <v>-1.18245457850166</v>
      </c>
      <c r="AM506">
        <v>66</v>
      </c>
      <c r="AN506">
        <f>IF(ISNUMBER(AJ506),IF(AJ506&gt;=0.05,1,0),"")</f>
        <v>1</v>
      </c>
      <c r="AO506">
        <f>IF(ISNUMBER(AJ506),IF(AJ506&lt;0.005,1,0),"")</f>
        <v>0</v>
      </c>
      <c r="AQ506" s="34"/>
      <c r="AR506" s="35"/>
      <c r="AS506" s="36"/>
    </row>
    <row r="507" spans="1:45" ht="57" x14ac:dyDescent="0.45">
      <c r="A507" s="1" t="s">
        <v>90</v>
      </c>
      <c r="B507" s="1" t="s">
        <v>86</v>
      </c>
      <c r="C507" s="1">
        <v>182</v>
      </c>
      <c r="D507" s="1">
        <v>444.44</v>
      </c>
      <c r="E507" s="1">
        <v>-1.3</v>
      </c>
      <c r="F507" s="1">
        <v>3.5</v>
      </c>
      <c r="G507" s="1">
        <v>3.6</v>
      </c>
      <c r="H507" s="1">
        <v>1.35</v>
      </c>
      <c r="I507" s="1">
        <v>3.29</v>
      </c>
      <c r="J507" s="1">
        <v>3.0992000000000002</v>
      </c>
      <c r="K507" s="1" t="s">
        <v>83</v>
      </c>
      <c r="N507" s="1">
        <v>13.98</v>
      </c>
      <c r="O507" s="1">
        <v>2.1000000000000001E-2</v>
      </c>
      <c r="P507" s="1">
        <v>7.45</v>
      </c>
      <c r="Q507" s="1">
        <v>40</v>
      </c>
      <c r="R507" s="1" t="s">
        <v>82</v>
      </c>
      <c r="S507" s="1">
        <v>238.11</v>
      </c>
      <c r="T507" s="1">
        <v>92</v>
      </c>
      <c r="U507" s="1">
        <v>2.08</v>
      </c>
      <c r="V507" s="1">
        <v>-6.26</v>
      </c>
      <c r="W507" s="1">
        <v>0.2</v>
      </c>
      <c r="X507" s="1">
        <f t="shared" si="62"/>
        <v>200</v>
      </c>
      <c r="Y507" s="1">
        <v>6.3</v>
      </c>
      <c r="Z507" s="1">
        <v>0.11</v>
      </c>
      <c r="AA507" s="1">
        <v>101.091836734693</v>
      </c>
      <c r="AB507" s="1" t="s">
        <v>89</v>
      </c>
      <c r="AC507" s="1">
        <v>25</v>
      </c>
      <c r="AH507" s="1">
        <v>0.71296610169491603</v>
      </c>
      <c r="AJ507" s="1">
        <f>IF(ISNUMBER(AH507),1-AH507,"")</f>
        <v>0.28703389830508397</v>
      </c>
      <c r="AK507" s="1">
        <f>IF(AND(ISNUMBER(AJ507),AJ507&gt;0),LN(AJ507),"")</f>
        <v>-1.2481549576359872</v>
      </c>
      <c r="AM507">
        <v>66</v>
      </c>
      <c r="AN507">
        <f>IF(ISNUMBER(AJ507),IF(AJ507&gt;=0.05,1,0),"")</f>
        <v>1</v>
      </c>
      <c r="AO507">
        <f>IF(ISNUMBER(AJ507),IF(AJ507&lt;0.005,1,0),"")</f>
        <v>0</v>
      </c>
      <c r="AQ507" s="34"/>
      <c r="AR507" s="35"/>
      <c r="AS507" s="36"/>
    </row>
    <row r="508" spans="1:45" ht="57" x14ac:dyDescent="0.45">
      <c r="A508" s="1" t="s">
        <v>90</v>
      </c>
      <c r="B508" s="1" t="s">
        <v>86</v>
      </c>
      <c r="C508" s="1">
        <v>182</v>
      </c>
      <c r="D508" s="1">
        <v>444.44</v>
      </c>
      <c r="E508" s="1">
        <v>-1.3</v>
      </c>
      <c r="F508" s="1">
        <v>3.5</v>
      </c>
      <c r="G508" s="1">
        <v>3.6</v>
      </c>
      <c r="H508" s="1">
        <v>1.35</v>
      </c>
      <c r="I508" s="1">
        <v>3.29</v>
      </c>
      <c r="J508" s="1">
        <v>3.0992000000000002</v>
      </c>
      <c r="K508" s="1" t="s">
        <v>83</v>
      </c>
      <c r="N508" s="1">
        <v>13.98</v>
      </c>
      <c r="O508" s="1">
        <v>2.1000000000000001E-2</v>
      </c>
      <c r="P508" s="1">
        <v>7.45</v>
      </c>
      <c r="Q508" s="1">
        <v>40</v>
      </c>
      <c r="R508" s="1" t="s">
        <v>82</v>
      </c>
      <c r="S508" s="1">
        <v>238.11</v>
      </c>
      <c r="T508" s="1">
        <v>92</v>
      </c>
      <c r="U508" s="1">
        <v>2.08</v>
      </c>
      <c r="V508" s="1">
        <v>-6.26</v>
      </c>
      <c r="W508" s="1">
        <v>0.2</v>
      </c>
      <c r="X508" s="1">
        <f t="shared" si="62"/>
        <v>200</v>
      </c>
      <c r="Y508" s="1">
        <v>6.3</v>
      </c>
      <c r="Z508" s="1">
        <v>0.11</v>
      </c>
      <c r="AA508" s="1">
        <v>121.275510204081</v>
      </c>
      <c r="AB508" s="1" t="s">
        <v>89</v>
      </c>
      <c r="AC508" s="1">
        <v>25</v>
      </c>
      <c r="AH508" s="1">
        <v>0.72661016949152601</v>
      </c>
      <c r="AJ508" s="1">
        <f>IF(ISNUMBER(AH508),1-AH508,"")</f>
        <v>0.27338983050847399</v>
      </c>
      <c r="AK508" s="1">
        <f>IF(AND(ISNUMBER(AJ508),AJ508&gt;0),LN(AJ508),"")</f>
        <v>-1.2968565517686041</v>
      </c>
      <c r="AM508">
        <v>66</v>
      </c>
      <c r="AN508">
        <f>IF(ISNUMBER(AJ508),IF(AJ508&gt;=0.05,1,0),"")</f>
        <v>1</v>
      </c>
      <c r="AO508">
        <f>IF(ISNUMBER(AJ508),IF(AJ508&lt;0.005,1,0),"")</f>
        <v>0</v>
      </c>
      <c r="AQ508" s="34"/>
      <c r="AR508" s="35"/>
      <c r="AS508" s="36"/>
    </row>
    <row r="509" spans="1:45" ht="57" x14ac:dyDescent="0.45">
      <c r="A509" s="1" t="s">
        <v>90</v>
      </c>
      <c r="B509" s="1" t="s">
        <v>86</v>
      </c>
      <c r="C509" s="1">
        <v>182</v>
      </c>
      <c r="D509" s="1">
        <v>444.44</v>
      </c>
      <c r="E509" s="1">
        <v>-1.3</v>
      </c>
      <c r="F509" s="1">
        <v>3.5</v>
      </c>
      <c r="G509" s="1">
        <v>3.6</v>
      </c>
      <c r="H509" s="1">
        <v>1.35</v>
      </c>
      <c r="I509" s="1">
        <v>3.29</v>
      </c>
      <c r="J509" s="1">
        <v>3.0992000000000002</v>
      </c>
      <c r="K509" s="1" t="s">
        <v>83</v>
      </c>
      <c r="N509" s="1">
        <v>13.98</v>
      </c>
      <c r="O509" s="1">
        <v>2.1000000000000001E-2</v>
      </c>
      <c r="P509" s="1">
        <v>7.45</v>
      </c>
      <c r="Q509" s="1">
        <v>40</v>
      </c>
      <c r="R509" s="1" t="s">
        <v>82</v>
      </c>
      <c r="S509" s="1">
        <v>238.11</v>
      </c>
      <c r="T509" s="1">
        <v>92</v>
      </c>
      <c r="U509" s="1">
        <v>2.08</v>
      </c>
      <c r="V509" s="1">
        <v>-6.26</v>
      </c>
      <c r="W509" s="1">
        <v>0.3</v>
      </c>
      <c r="X509" s="1">
        <f t="shared" si="62"/>
        <v>300</v>
      </c>
      <c r="Y509" s="1">
        <v>6.3</v>
      </c>
      <c r="Z509" s="1">
        <v>0.11</v>
      </c>
      <c r="AA509" s="1">
        <v>-6.1224489795864E-2</v>
      </c>
      <c r="AB509" s="1" t="s">
        <v>89</v>
      </c>
      <c r="AC509" s="1">
        <v>25</v>
      </c>
      <c r="AH509" s="1">
        <v>1.2399999999999967E-2</v>
      </c>
      <c r="AI509" s="1">
        <v>1.1474066858257552E-2</v>
      </c>
      <c r="AJ509" s="1">
        <f>IF(ISNUMBER(AH509),1-AH509,"")</f>
        <v>0.98760000000000003</v>
      </c>
      <c r="AK509" s="1">
        <f>IF(AND(ISNUMBER(AJ509),AJ509&gt;0),LN(AJ509),"")</f>
        <v>-1.2477521511112579E-2</v>
      </c>
      <c r="AM509">
        <v>67</v>
      </c>
      <c r="AN509">
        <f>IF(ISNUMBER(AJ509),IF(AJ509&gt;=0.05,1,0),"")</f>
        <v>1</v>
      </c>
      <c r="AO509">
        <f>IF(ISNUMBER(AJ509),IF(AJ509&lt;0.005,1,0),"")</f>
        <v>0</v>
      </c>
      <c r="AP509">
        <f>IFERROR(MATCH(0,AN509:AN516,0)-1,8)</f>
        <v>8</v>
      </c>
      <c r="AQ509" s="34">
        <f>IF(AP509&lt;3,"n&lt;3",IFERROR(-SLOPE(AK509:INDEX(AK509:AK516,AP509),AA509:INDEX(AA509:AA516,AP509)),"no fit"))</f>
        <v>9.2432468740429544E-3</v>
      </c>
      <c r="AR509" s="35">
        <f>IF(AP509&lt;3,"",IFERROR(RSQ(AK509:INDEX(AK509:AK516,AP509),AA509:INDEX(AA509:AA516,AP509)),"flat"))</f>
        <v>0.72537988853049951</v>
      </c>
      <c r="AS509" s="36">
        <f>IFERROR(AQ509/AI509,"")</f>
        <v>0.80557721932662951</v>
      </c>
    </row>
    <row r="510" spans="1:45" ht="57" x14ac:dyDescent="0.45">
      <c r="A510" s="1" t="s">
        <v>90</v>
      </c>
      <c r="B510" s="1" t="s">
        <v>86</v>
      </c>
      <c r="C510" s="1">
        <v>182</v>
      </c>
      <c r="D510" s="1">
        <v>444.44</v>
      </c>
      <c r="E510" s="1">
        <v>-1.3</v>
      </c>
      <c r="F510" s="1">
        <v>3.5</v>
      </c>
      <c r="G510" s="1">
        <v>3.6</v>
      </c>
      <c r="H510" s="1">
        <v>1.35</v>
      </c>
      <c r="I510" s="1">
        <v>3.29</v>
      </c>
      <c r="J510" s="1">
        <v>3.0992000000000002</v>
      </c>
      <c r="K510" s="1" t="s">
        <v>83</v>
      </c>
      <c r="N510" s="1">
        <v>13.98</v>
      </c>
      <c r="O510" s="1">
        <v>2.1000000000000001E-2</v>
      </c>
      <c r="P510" s="1">
        <v>7.45</v>
      </c>
      <c r="Q510" s="1">
        <v>40</v>
      </c>
      <c r="R510" s="1" t="s">
        <v>82</v>
      </c>
      <c r="S510" s="1">
        <v>238.11</v>
      </c>
      <c r="T510" s="1">
        <v>92</v>
      </c>
      <c r="U510" s="1">
        <v>2.08</v>
      </c>
      <c r="V510" s="1">
        <v>-6.26</v>
      </c>
      <c r="W510" s="1">
        <v>0.3</v>
      </c>
      <c r="X510" s="1">
        <f t="shared" si="62"/>
        <v>300</v>
      </c>
      <c r="Y510" s="1">
        <v>6.3</v>
      </c>
      <c r="Z510" s="1">
        <v>0.11</v>
      </c>
      <c r="AA510" s="1">
        <v>9.7959183673469603</v>
      </c>
      <c r="AB510" s="1" t="s">
        <v>89</v>
      </c>
      <c r="AC510" s="1">
        <v>25</v>
      </c>
      <c r="AH510" s="1">
        <v>0.46542372881355898</v>
      </c>
      <c r="AJ510" s="1">
        <f>IF(ISNUMBER(AH510),1-AH510,"")</f>
        <v>0.53457627118644102</v>
      </c>
      <c r="AK510" s="1">
        <f>IF(AND(ISNUMBER(AJ510),AJ510&gt;0),LN(AJ510),"")</f>
        <v>-0.62628086237082647</v>
      </c>
      <c r="AM510">
        <v>67</v>
      </c>
      <c r="AN510">
        <f>IF(ISNUMBER(AJ510),IF(AJ510&gt;=0.05,1,0),"")</f>
        <v>1</v>
      </c>
      <c r="AO510">
        <f>IF(ISNUMBER(AJ510),IF(AJ510&lt;0.005,1,0),"")</f>
        <v>0</v>
      </c>
      <c r="AQ510" s="34"/>
      <c r="AR510" s="35"/>
      <c r="AS510" s="36"/>
    </row>
    <row r="511" spans="1:45" ht="57" x14ac:dyDescent="0.45">
      <c r="A511" s="1" t="s">
        <v>90</v>
      </c>
      <c r="B511" s="1" t="s">
        <v>86</v>
      </c>
      <c r="C511" s="1">
        <v>182</v>
      </c>
      <c r="D511" s="1">
        <v>444.44</v>
      </c>
      <c r="E511" s="1">
        <v>-1.3</v>
      </c>
      <c r="F511" s="1">
        <v>3.5</v>
      </c>
      <c r="G511" s="1">
        <v>3.6</v>
      </c>
      <c r="H511" s="1">
        <v>1.35</v>
      </c>
      <c r="I511" s="1">
        <v>3.29</v>
      </c>
      <c r="J511" s="1">
        <v>3.0992000000000002</v>
      </c>
      <c r="K511" s="1" t="s">
        <v>83</v>
      </c>
      <c r="N511" s="1">
        <v>13.98</v>
      </c>
      <c r="O511" s="1">
        <v>2.1000000000000001E-2</v>
      </c>
      <c r="P511" s="1">
        <v>7.45</v>
      </c>
      <c r="Q511" s="1">
        <v>40</v>
      </c>
      <c r="R511" s="1" t="s">
        <v>82</v>
      </c>
      <c r="S511" s="1">
        <v>238.11</v>
      </c>
      <c r="T511" s="1">
        <v>92</v>
      </c>
      <c r="U511" s="1">
        <v>2.08</v>
      </c>
      <c r="V511" s="1">
        <v>-6.26</v>
      </c>
      <c r="W511" s="1">
        <v>0.3</v>
      </c>
      <c r="X511" s="1">
        <f t="shared" si="62"/>
        <v>300</v>
      </c>
      <c r="Y511" s="1">
        <v>6.3</v>
      </c>
      <c r="Z511" s="1">
        <v>0.11</v>
      </c>
      <c r="AA511" s="1">
        <v>19.6530612244898</v>
      </c>
      <c r="AB511" s="1" t="s">
        <v>89</v>
      </c>
      <c r="AC511" s="1">
        <v>25</v>
      </c>
      <c r="AH511" s="1">
        <v>0.58237288135593201</v>
      </c>
      <c r="AJ511" s="1">
        <f>IF(ISNUMBER(AH511),1-AH511,"")</f>
        <v>0.41762711864406799</v>
      </c>
      <c r="AK511" s="1">
        <f>IF(AND(ISNUMBER(AJ511),AJ511&gt;0),LN(AJ511),"")</f>
        <v>-0.87316630524039995</v>
      </c>
      <c r="AM511">
        <v>67</v>
      </c>
      <c r="AN511">
        <f>IF(ISNUMBER(AJ511),IF(AJ511&gt;=0.05,1,0),"")</f>
        <v>1</v>
      </c>
      <c r="AO511">
        <f>IF(ISNUMBER(AJ511),IF(AJ511&lt;0.005,1,0),"")</f>
        <v>0</v>
      </c>
      <c r="AQ511" s="34"/>
      <c r="AR511" s="35"/>
      <c r="AS511" s="36"/>
    </row>
    <row r="512" spans="1:45" ht="57" x14ac:dyDescent="0.45">
      <c r="A512" s="1" t="s">
        <v>90</v>
      </c>
      <c r="B512" s="1" t="s">
        <v>86</v>
      </c>
      <c r="C512" s="1">
        <v>182</v>
      </c>
      <c r="D512" s="1">
        <v>444.44</v>
      </c>
      <c r="E512" s="1">
        <v>-1.3</v>
      </c>
      <c r="F512" s="1">
        <v>3.5</v>
      </c>
      <c r="G512" s="1">
        <v>3.6</v>
      </c>
      <c r="H512" s="1">
        <v>1.35</v>
      </c>
      <c r="I512" s="1">
        <v>3.29</v>
      </c>
      <c r="J512" s="1">
        <v>3.0992000000000002</v>
      </c>
      <c r="K512" s="1" t="s">
        <v>83</v>
      </c>
      <c r="N512" s="1">
        <v>13.98</v>
      </c>
      <c r="O512" s="1">
        <v>2.1000000000000001E-2</v>
      </c>
      <c r="P512" s="1">
        <v>7.45</v>
      </c>
      <c r="Q512" s="1">
        <v>40</v>
      </c>
      <c r="R512" s="1" t="s">
        <v>82</v>
      </c>
      <c r="S512" s="1">
        <v>238.11</v>
      </c>
      <c r="T512" s="1">
        <v>92</v>
      </c>
      <c r="U512" s="1">
        <v>2.08</v>
      </c>
      <c r="V512" s="1">
        <v>-6.26</v>
      </c>
      <c r="W512" s="1">
        <v>0.3</v>
      </c>
      <c r="X512" s="1">
        <f t="shared" si="62"/>
        <v>300</v>
      </c>
      <c r="Y512" s="1">
        <v>6.3</v>
      </c>
      <c r="Z512" s="1">
        <v>0.11</v>
      </c>
      <c r="AA512" s="1">
        <v>40.306122448979501</v>
      </c>
      <c r="AB512" s="1" t="s">
        <v>89</v>
      </c>
      <c r="AC512" s="1">
        <v>25</v>
      </c>
      <c r="AH512" s="1">
        <v>0.68177966101694898</v>
      </c>
      <c r="AJ512" s="1">
        <f>IF(ISNUMBER(AH512),1-AH512,"")</f>
        <v>0.31822033898305102</v>
      </c>
      <c r="AK512" s="1">
        <f>IF(AND(ISNUMBER(AJ512),AJ512&gt;0),LN(AJ512),"")</f>
        <v>-1.1450112462555204</v>
      </c>
      <c r="AM512">
        <v>67</v>
      </c>
      <c r="AN512">
        <f>IF(ISNUMBER(AJ512),IF(AJ512&gt;=0.05,1,0),"")</f>
        <v>1</v>
      </c>
      <c r="AO512">
        <f>IF(ISNUMBER(AJ512),IF(AJ512&lt;0.005,1,0),"")</f>
        <v>0</v>
      </c>
      <c r="AQ512" s="34"/>
      <c r="AR512" s="35"/>
      <c r="AS512" s="36"/>
    </row>
    <row r="513" spans="1:45" ht="57" x14ac:dyDescent="0.45">
      <c r="A513" s="1" t="s">
        <v>90</v>
      </c>
      <c r="B513" s="1" t="s">
        <v>86</v>
      </c>
      <c r="C513" s="1">
        <v>182</v>
      </c>
      <c r="D513" s="1">
        <v>444.44</v>
      </c>
      <c r="E513" s="1">
        <v>-1.3</v>
      </c>
      <c r="F513" s="1">
        <v>3.5</v>
      </c>
      <c r="G513" s="1">
        <v>3.6</v>
      </c>
      <c r="H513" s="1">
        <v>1.35</v>
      </c>
      <c r="I513" s="1">
        <v>3.29</v>
      </c>
      <c r="J513" s="1">
        <v>3.0992000000000002</v>
      </c>
      <c r="K513" s="1" t="s">
        <v>83</v>
      </c>
      <c r="N513" s="1">
        <v>13.98</v>
      </c>
      <c r="O513" s="1">
        <v>2.1000000000000001E-2</v>
      </c>
      <c r="P513" s="1">
        <v>7.45</v>
      </c>
      <c r="Q513" s="1">
        <v>40</v>
      </c>
      <c r="R513" s="1" t="s">
        <v>82</v>
      </c>
      <c r="S513" s="1">
        <v>238.11</v>
      </c>
      <c r="T513" s="1">
        <v>92</v>
      </c>
      <c r="U513" s="1">
        <v>2.08</v>
      </c>
      <c r="V513" s="1">
        <v>-6.26</v>
      </c>
      <c r="W513" s="1">
        <v>0.3</v>
      </c>
      <c r="X513" s="1">
        <f t="shared" si="62"/>
        <v>300</v>
      </c>
      <c r="Y513" s="1">
        <v>6.3</v>
      </c>
      <c r="Z513" s="1">
        <v>0.11</v>
      </c>
      <c r="AA513" s="1">
        <v>60.724489795918302</v>
      </c>
      <c r="AB513" s="1" t="s">
        <v>89</v>
      </c>
      <c r="AC513" s="1">
        <v>25</v>
      </c>
      <c r="AH513" s="1">
        <v>0.70906779661016994</v>
      </c>
      <c r="AJ513" s="1">
        <f>IF(ISNUMBER(AH513),1-AH513,"")</f>
        <v>0.29093220338983006</v>
      </c>
      <c r="AK513" s="1">
        <f>IF(AND(ISNUMBER(AJ513),AJ513&gt;0),LN(AJ513),"")</f>
        <v>-1.2346650169960656</v>
      </c>
      <c r="AM513">
        <v>67</v>
      </c>
      <c r="AN513">
        <f>IF(ISNUMBER(AJ513),IF(AJ513&gt;=0.05,1,0),"")</f>
        <v>1</v>
      </c>
      <c r="AO513">
        <f>IF(ISNUMBER(AJ513),IF(AJ513&lt;0.005,1,0),"")</f>
        <v>0</v>
      </c>
      <c r="AQ513" s="34"/>
      <c r="AR513" s="35"/>
      <c r="AS513" s="36"/>
    </row>
    <row r="514" spans="1:45" ht="57" x14ac:dyDescent="0.45">
      <c r="A514" s="1" t="s">
        <v>90</v>
      </c>
      <c r="B514" s="1" t="s">
        <v>86</v>
      </c>
      <c r="C514" s="1">
        <v>182</v>
      </c>
      <c r="D514" s="1">
        <v>444.44</v>
      </c>
      <c r="E514" s="1">
        <v>-1.3</v>
      </c>
      <c r="F514" s="1">
        <v>3.5</v>
      </c>
      <c r="G514" s="1">
        <v>3.6</v>
      </c>
      <c r="H514" s="1">
        <v>1.35</v>
      </c>
      <c r="I514" s="1">
        <v>3.29</v>
      </c>
      <c r="J514" s="1">
        <v>3.0992000000000002</v>
      </c>
      <c r="K514" s="1" t="s">
        <v>83</v>
      </c>
      <c r="N514" s="1">
        <v>13.98</v>
      </c>
      <c r="O514" s="1">
        <v>2.1000000000000001E-2</v>
      </c>
      <c r="P514" s="1">
        <v>7.45</v>
      </c>
      <c r="Q514" s="1">
        <v>40</v>
      </c>
      <c r="R514" s="1" t="s">
        <v>82</v>
      </c>
      <c r="S514" s="1">
        <v>238.11</v>
      </c>
      <c r="T514" s="1">
        <v>92</v>
      </c>
      <c r="U514" s="1">
        <v>2.08</v>
      </c>
      <c r="V514" s="1">
        <v>-6.26</v>
      </c>
      <c r="W514" s="1">
        <v>0.3</v>
      </c>
      <c r="X514" s="1">
        <f t="shared" si="62"/>
        <v>300</v>
      </c>
      <c r="Y514" s="1">
        <v>6.3</v>
      </c>
      <c r="Z514" s="1">
        <v>0.11</v>
      </c>
      <c r="AA514" s="1">
        <v>80.438775510203996</v>
      </c>
      <c r="AB514" s="1" t="s">
        <v>89</v>
      </c>
      <c r="AC514" s="1">
        <v>25</v>
      </c>
      <c r="AH514" s="1">
        <v>0.740254237288136</v>
      </c>
      <c r="AJ514" s="1">
        <f>IF(ISNUMBER(AH514),1-AH514,"")</f>
        <v>0.259745762711864</v>
      </c>
      <c r="AK514" s="1">
        <f>IF(AND(ISNUMBER(AJ514),AJ514&gt;0),LN(AJ514),"")</f>
        <v>-1.3480519620834459</v>
      </c>
      <c r="AM514">
        <v>67</v>
      </c>
      <c r="AN514">
        <f>IF(ISNUMBER(AJ514),IF(AJ514&gt;=0.05,1,0),"")</f>
        <v>1</v>
      </c>
      <c r="AO514">
        <f>IF(ISNUMBER(AJ514),IF(AJ514&lt;0.005,1,0),"")</f>
        <v>0</v>
      </c>
      <c r="AQ514" s="34"/>
      <c r="AR514" s="35"/>
      <c r="AS514" s="36"/>
    </row>
    <row r="515" spans="1:45" ht="57" x14ac:dyDescent="0.45">
      <c r="A515" s="1" t="s">
        <v>90</v>
      </c>
      <c r="B515" s="1" t="s">
        <v>86</v>
      </c>
      <c r="C515" s="1">
        <v>182</v>
      </c>
      <c r="D515" s="1">
        <v>444.44</v>
      </c>
      <c r="E515" s="1">
        <v>-1.3</v>
      </c>
      <c r="F515" s="1">
        <v>3.5</v>
      </c>
      <c r="G515" s="1">
        <v>3.6</v>
      </c>
      <c r="H515" s="1">
        <v>1.35</v>
      </c>
      <c r="I515" s="1">
        <v>3.29</v>
      </c>
      <c r="J515" s="1">
        <v>3.0992000000000002</v>
      </c>
      <c r="K515" s="1" t="s">
        <v>83</v>
      </c>
      <c r="N515" s="1">
        <v>13.98</v>
      </c>
      <c r="O515" s="1">
        <v>2.1000000000000001E-2</v>
      </c>
      <c r="P515" s="1">
        <v>7.45</v>
      </c>
      <c r="Q515" s="1">
        <v>40</v>
      </c>
      <c r="R515" s="1" t="s">
        <v>82</v>
      </c>
      <c r="S515" s="1">
        <v>238.11</v>
      </c>
      <c r="T515" s="1">
        <v>92</v>
      </c>
      <c r="U515" s="1">
        <v>2.08</v>
      </c>
      <c r="V515" s="1">
        <v>-6.26</v>
      </c>
      <c r="W515" s="1">
        <v>0.3</v>
      </c>
      <c r="X515" s="1">
        <f t="shared" si="62"/>
        <v>300</v>
      </c>
      <c r="Y515" s="1">
        <v>6.3</v>
      </c>
      <c r="Z515" s="1">
        <v>0.11</v>
      </c>
      <c r="AA515" s="1">
        <v>101.326530612244</v>
      </c>
      <c r="AB515" s="1" t="s">
        <v>89</v>
      </c>
      <c r="AC515" s="1">
        <v>25</v>
      </c>
      <c r="AH515" s="1">
        <v>0.74220338983050893</v>
      </c>
      <c r="AJ515" s="1">
        <f>IF(ISNUMBER(AH515),1-AH515,"")</f>
        <v>0.25779661016949107</v>
      </c>
      <c r="AK515" s="1">
        <f>IF(AND(ISNUMBER(AJ515),AJ515&gt;0),LN(AJ515),"")</f>
        <v>-1.3555843376345198</v>
      </c>
      <c r="AM515">
        <v>67</v>
      </c>
      <c r="AN515">
        <f>IF(ISNUMBER(AJ515),IF(AJ515&gt;=0.05,1,0),"")</f>
        <v>1</v>
      </c>
      <c r="AO515">
        <f>IF(ISNUMBER(AJ515),IF(AJ515&lt;0.005,1,0),"")</f>
        <v>0</v>
      </c>
      <c r="AQ515" s="34"/>
      <c r="AR515" s="35"/>
      <c r="AS515" s="36"/>
    </row>
    <row r="516" spans="1:45" ht="57" x14ac:dyDescent="0.45">
      <c r="A516" s="1" t="s">
        <v>90</v>
      </c>
      <c r="B516" s="1" t="s">
        <v>86</v>
      </c>
      <c r="C516" s="1">
        <v>182</v>
      </c>
      <c r="D516" s="1">
        <v>444.44</v>
      </c>
      <c r="E516" s="1">
        <v>-1.3</v>
      </c>
      <c r="F516" s="1">
        <v>3.5</v>
      </c>
      <c r="G516" s="1">
        <v>3.6</v>
      </c>
      <c r="H516" s="1">
        <v>1.35</v>
      </c>
      <c r="I516" s="1">
        <v>3.29</v>
      </c>
      <c r="J516" s="1">
        <v>3.0992000000000002</v>
      </c>
      <c r="K516" s="1" t="s">
        <v>83</v>
      </c>
      <c r="N516" s="1">
        <v>13.98</v>
      </c>
      <c r="O516" s="1">
        <v>2.1000000000000001E-2</v>
      </c>
      <c r="P516" s="1">
        <v>7.45</v>
      </c>
      <c r="Q516" s="1">
        <v>40</v>
      </c>
      <c r="R516" s="1" t="s">
        <v>82</v>
      </c>
      <c r="S516" s="1">
        <v>238.11</v>
      </c>
      <c r="T516" s="1">
        <v>92</v>
      </c>
      <c r="U516" s="1">
        <v>2.08</v>
      </c>
      <c r="V516" s="1">
        <v>-6.26</v>
      </c>
      <c r="W516" s="1">
        <v>0.3</v>
      </c>
      <c r="X516" s="1">
        <f t="shared" ref="X516:X579" si="63">W516*1000</f>
        <v>300</v>
      </c>
      <c r="Y516" s="1">
        <v>6.3</v>
      </c>
      <c r="Z516" s="1">
        <v>0.11</v>
      </c>
      <c r="AA516" s="1">
        <v>121.04081632653001</v>
      </c>
      <c r="AB516" s="1" t="s">
        <v>89</v>
      </c>
      <c r="AC516" s="1">
        <v>25</v>
      </c>
      <c r="AH516" s="1">
        <v>0.75389830508474598</v>
      </c>
      <c r="AJ516" s="1">
        <f>IF(ISNUMBER(AH516),1-AH516,"")</f>
        <v>0.24610169491525402</v>
      </c>
      <c r="AK516" s="1">
        <f>IF(AND(ISNUMBER(AJ516),AJ516&gt;0),LN(AJ516),"")</f>
        <v>-1.4020104345090703</v>
      </c>
      <c r="AM516">
        <v>67</v>
      </c>
      <c r="AN516">
        <f>IF(ISNUMBER(AJ516),IF(AJ516&gt;=0.05,1,0),"")</f>
        <v>1</v>
      </c>
      <c r="AO516">
        <f>IF(ISNUMBER(AJ516),IF(AJ516&lt;0.005,1,0),"")</f>
        <v>0</v>
      </c>
      <c r="AQ516" s="34"/>
      <c r="AR516" s="35"/>
      <c r="AS516" s="36"/>
    </row>
    <row r="517" spans="1:45" ht="57" x14ac:dyDescent="0.45">
      <c r="A517" s="1" t="s">
        <v>90</v>
      </c>
      <c r="B517" s="1" t="s">
        <v>86</v>
      </c>
      <c r="C517" s="1">
        <v>182</v>
      </c>
      <c r="D517" s="1">
        <v>444.44</v>
      </c>
      <c r="E517" s="1">
        <v>-1.3</v>
      </c>
      <c r="F517" s="1">
        <v>3.5</v>
      </c>
      <c r="G517" s="1">
        <v>3.6</v>
      </c>
      <c r="H517" s="1">
        <v>1.35</v>
      </c>
      <c r="I517" s="1">
        <v>3.29</v>
      </c>
      <c r="J517" s="1">
        <v>3.0992000000000002</v>
      </c>
      <c r="K517" s="1" t="s">
        <v>83</v>
      </c>
      <c r="N517" s="1">
        <v>13.98</v>
      </c>
      <c r="O517" s="1">
        <v>2.1000000000000001E-2</v>
      </c>
      <c r="P517" s="1">
        <v>7.45</v>
      </c>
      <c r="Q517" s="1">
        <v>40</v>
      </c>
      <c r="R517" s="1" t="s">
        <v>82</v>
      </c>
      <c r="S517" s="1">
        <v>238.11</v>
      </c>
      <c r="T517" s="1">
        <v>92</v>
      </c>
      <c r="U517" s="1">
        <v>2.08</v>
      </c>
      <c r="V517" s="1">
        <v>-6.26</v>
      </c>
      <c r="W517" s="1">
        <v>0.4</v>
      </c>
      <c r="X517" s="1">
        <f t="shared" si="63"/>
        <v>400</v>
      </c>
      <c r="Y517" s="1">
        <v>6.3</v>
      </c>
      <c r="Z517" s="1">
        <v>0.11</v>
      </c>
      <c r="AA517" s="1">
        <v>0.40816326530613201</v>
      </c>
      <c r="AB517" s="1" t="s">
        <v>89</v>
      </c>
      <c r="AC517" s="1">
        <v>25</v>
      </c>
      <c r="AH517" s="1">
        <v>0</v>
      </c>
      <c r="AI517" s="1">
        <v>1.0534036874341195E-2</v>
      </c>
      <c r="AJ517" s="1">
        <f>IF(ISNUMBER(AH517),1-AH517,"")</f>
        <v>1</v>
      </c>
      <c r="AK517" s="1">
        <f>IF(AND(ISNUMBER(AJ517),AJ517&gt;0),LN(AJ517),"")</f>
        <v>0</v>
      </c>
      <c r="AM517">
        <v>68</v>
      </c>
      <c r="AN517">
        <f>IF(ISNUMBER(AJ517),IF(AJ517&gt;=0.05,1,0),"")</f>
        <v>1</v>
      </c>
      <c r="AO517">
        <f>IF(ISNUMBER(AJ517),IF(AJ517&lt;0.005,1,0),"")</f>
        <v>0</v>
      </c>
      <c r="AP517">
        <f>IFERROR(MATCH(0,AN517:AN524,0)-1,8)</f>
        <v>8</v>
      </c>
      <c r="AQ517" s="34">
        <f>IF(AP517&lt;3,"n&lt;3",IFERROR(-SLOPE(AK517:INDEX(AK517:AK524,AP517),AA517:INDEX(AA517:AA524,AP517)),"no fit"))</f>
        <v>8.7316085274479153E-3</v>
      </c>
      <c r="AR517" s="35">
        <f>IF(AP517&lt;3,"",IFERROR(RSQ(AK517:INDEX(AK517:AK524,AP517),AA517:INDEX(AA517:AA524,AP517)),"flat"))</f>
        <v>0.75483863521436423</v>
      </c>
      <c r="AS517" s="36">
        <f>IFERROR(AQ517/AI517,"")</f>
        <v>0.82889481322363368</v>
      </c>
    </row>
    <row r="518" spans="1:45" ht="57" x14ac:dyDescent="0.45">
      <c r="A518" s="1" t="s">
        <v>90</v>
      </c>
      <c r="B518" s="1" t="s">
        <v>86</v>
      </c>
      <c r="C518" s="1">
        <v>182</v>
      </c>
      <c r="D518" s="1">
        <v>444.44</v>
      </c>
      <c r="E518" s="1">
        <v>-1.3</v>
      </c>
      <c r="F518" s="1">
        <v>3.5</v>
      </c>
      <c r="G518" s="1">
        <v>3.6</v>
      </c>
      <c r="H518" s="1">
        <v>1.35</v>
      </c>
      <c r="I518" s="1">
        <v>3.29</v>
      </c>
      <c r="J518" s="1">
        <v>3.0992000000000002</v>
      </c>
      <c r="K518" s="1" t="s">
        <v>83</v>
      </c>
      <c r="N518" s="1">
        <v>13.98</v>
      </c>
      <c r="O518" s="1">
        <v>2.1000000000000001E-2</v>
      </c>
      <c r="P518" s="1">
        <v>7.45</v>
      </c>
      <c r="Q518" s="1">
        <v>40</v>
      </c>
      <c r="R518" s="1" t="s">
        <v>82</v>
      </c>
      <c r="S518" s="1">
        <v>238.11</v>
      </c>
      <c r="T518" s="1">
        <v>92</v>
      </c>
      <c r="U518" s="1">
        <v>2.08</v>
      </c>
      <c r="V518" s="1">
        <v>-6.26</v>
      </c>
      <c r="W518" s="1">
        <v>0.4</v>
      </c>
      <c r="X518" s="1">
        <f t="shared" si="63"/>
        <v>400</v>
      </c>
      <c r="Y518" s="1">
        <v>6.3</v>
      </c>
      <c r="Z518" s="1">
        <v>0.11</v>
      </c>
      <c r="AA518" s="1">
        <v>10.265306122448999</v>
      </c>
      <c r="AB518" s="1" t="s">
        <v>89</v>
      </c>
      <c r="AC518" s="1">
        <v>25</v>
      </c>
      <c r="AH518" s="1">
        <v>0.40305084745762698</v>
      </c>
      <c r="AJ518" s="1">
        <f>IF(ISNUMBER(AH518),1-AH518,"")</f>
        <v>0.59694915254237302</v>
      </c>
      <c r="AK518" s="1">
        <f>IF(AND(ISNUMBER(AJ518),AJ518&gt;0),LN(AJ518),"")</f>
        <v>-0.51592334083765912</v>
      </c>
      <c r="AM518">
        <v>68</v>
      </c>
      <c r="AN518">
        <f>IF(ISNUMBER(AJ518),IF(AJ518&gt;=0.05,1,0),"")</f>
        <v>1</v>
      </c>
      <c r="AO518">
        <f>IF(ISNUMBER(AJ518),IF(AJ518&lt;0.005,1,0),"")</f>
        <v>0</v>
      </c>
      <c r="AQ518" s="34"/>
      <c r="AR518" s="35"/>
      <c r="AS518" s="36"/>
    </row>
    <row r="519" spans="1:45" ht="57" x14ac:dyDescent="0.45">
      <c r="A519" s="1" t="s">
        <v>90</v>
      </c>
      <c r="B519" s="1" t="s">
        <v>86</v>
      </c>
      <c r="C519" s="1">
        <v>182</v>
      </c>
      <c r="D519" s="1">
        <v>444.44</v>
      </c>
      <c r="E519" s="1">
        <v>-1.3</v>
      </c>
      <c r="F519" s="1">
        <v>3.5</v>
      </c>
      <c r="G519" s="1">
        <v>3.6</v>
      </c>
      <c r="H519" s="1">
        <v>1.35</v>
      </c>
      <c r="I519" s="1">
        <v>3.29</v>
      </c>
      <c r="J519" s="1">
        <v>3.0992000000000002</v>
      </c>
      <c r="K519" s="1" t="s">
        <v>83</v>
      </c>
      <c r="N519" s="1">
        <v>13.98</v>
      </c>
      <c r="O519" s="1">
        <v>2.1000000000000001E-2</v>
      </c>
      <c r="P519" s="1">
        <v>7.45</v>
      </c>
      <c r="Q519" s="1">
        <v>40</v>
      </c>
      <c r="R519" s="1" t="s">
        <v>82</v>
      </c>
      <c r="S519" s="1">
        <v>238.11</v>
      </c>
      <c r="T519" s="1">
        <v>92</v>
      </c>
      <c r="U519" s="1">
        <v>2.08</v>
      </c>
      <c r="V519" s="1">
        <v>-6.26</v>
      </c>
      <c r="W519" s="1">
        <v>0.4</v>
      </c>
      <c r="X519" s="1">
        <f t="shared" si="63"/>
        <v>400</v>
      </c>
      <c r="Y519" s="1">
        <v>6.3</v>
      </c>
      <c r="Z519" s="1">
        <v>0.11</v>
      </c>
      <c r="AA519" s="1">
        <v>19.887755102040799</v>
      </c>
      <c r="AB519" s="1" t="s">
        <v>89</v>
      </c>
      <c r="AC519" s="1">
        <v>25</v>
      </c>
      <c r="AH519" s="1">
        <v>0.53949152542372902</v>
      </c>
      <c r="AJ519" s="1">
        <f>IF(ISNUMBER(AH519),1-AH519,"")</f>
        <v>0.46050847457627098</v>
      </c>
      <c r="AK519" s="1">
        <f>IF(AND(ISNUMBER(AJ519),AJ519&gt;0),LN(AJ519),"")</f>
        <v>-0.7754240204674635</v>
      </c>
      <c r="AM519">
        <v>68</v>
      </c>
      <c r="AN519">
        <f>IF(ISNUMBER(AJ519),IF(AJ519&gt;=0.05,1,0),"")</f>
        <v>1</v>
      </c>
      <c r="AO519">
        <f>IF(ISNUMBER(AJ519),IF(AJ519&lt;0.005,1,0),"")</f>
        <v>0</v>
      </c>
      <c r="AQ519" s="34"/>
      <c r="AR519" s="35"/>
      <c r="AS519" s="36"/>
    </row>
    <row r="520" spans="1:45" ht="57" x14ac:dyDescent="0.45">
      <c r="A520" s="1" t="s">
        <v>90</v>
      </c>
      <c r="B520" s="1" t="s">
        <v>86</v>
      </c>
      <c r="C520" s="1">
        <v>182</v>
      </c>
      <c r="D520" s="1">
        <v>444.44</v>
      </c>
      <c r="E520" s="1">
        <v>-1.3</v>
      </c>
      <c r="F520" s="1">
        <v>3.5</v>
      </c>
      <c r="G520" s="1">
        <v>3.6</v>
      </c>
      <c r="H520" s="1">
        <v>1.35</v>
      </c>
      <c r="I520" s="1">
        <v>3.29</v>
      </c>
      <c r="J520" s="1">
        <v>3.0992000000000002</v>
      </c>
      <c r="K520" s="1" t="s">
        <v>83</v>
      </c>
      <c r="N520" s="1">
        <v>13.98</v>
      </c>
      <c r="O520" s="1">
        <v>2.1000000000000001E-2</v>
      </c>
      <c r="P520" s="1">
        <v>7.45</v>
      </c>
      <c r="Q520" s="1">
        <v>40</v>
      </c>
      <c r="R520" s="1" t="s">
        <v>82</v>
      </c>
      <c r="S520" s="1">
        <v>238.11</v>
      </c>
      <c r="T520" s="1">
        <v>92</v>
      </c>
      <c r="U520" s="1">
        <v>2.08</v>
      </c>
      <c r="V520" s="1">
        <v>-6.26</v>
      </c>
      <c r="W520" s="1">
        <v>0.4</v>
      </c>
      <c r="X520" s="1">
        <f t="shared" si="63"/>
        <v>400</v>
      </c>
      <c r="Y520" s="1">
        <v>6.3</v>
      </c>
      <c r="Z520" s="1">
        <v>0.11</v>
      </c>
      <c r="AA520" s="1">
        <v>40.071428571428498</v>
      </c>
      <c r="AB520" s="1" t="s">
        <v>89</v>
      </c>
      <c r="AC520" s="1">
        <v>25</v>
      </c>
      <c r="AH520" s="1">
        <v>0.62720338983050894</v>
      </c>
      <c r="AJ520" s="1">
        <f>IF(ISNUMBER(AH520),1-AH520,"")</f>
        <v>0.37279661016949106</v>
      </c>
      <c r="AK520" s="1">
        <f>IF(AND(ISNUMBER(AJ520),AJ520&gt;0),LN(AJ520),"")</f>
        <v>-0.98672228910503756</v>
      </c>
      <c r="AM520">
        <v>68</v>
      </c>
      <c r="AN520">
        <f>IF(ISNUMBER(AJ520),IF(AJ520&gt;=0.05,1,0),"")</f>
        <v>1</v>
      </c>
      <c r="AO520">
        <f>IF(ISNUMBER(AJ520),IF(AJ520&lt;0.005,1,0),"")</f>
        <v>0</v>
      </c>
      <c r="AQ520" s="34"/>
      <c r="AR520" s="35"/>
      <c r="AS520" s="36"/>
    </row>
    <row r="521" spans="1:45" ht="57" x14ac:dyDescent="0.45">
      <c r="A521" s="1" t="s">
        <v>90</v>
      </c>
      <c r="B521" s="1" t="s">
        <v>86</v>
      </c>
      <c r="C521" s="1">
        <v>182</v>
      </c>
      <c r="D521" s="1">
        <v>444.44</v>
      </c>
      <c r="E521" s="1">
        <v>-1.3</v>
      </c>
      <c r="F521" s="1">
        <v>3.5</v>
      </c>
      <c r="G521" s="1">
        <v>3.6</v>
      </c>
      <c r="H521" s="1">
        <v>1.35</v>
      </c>
      <c r="I521" s="1">
        <v>3.29</v>
      </c>
      <c r="J521" s="1">
        <v>3.0992000000000002</v>
      </c>
      <c r="K521" s="1" t="s">
        <v>83</v>
      </c>
      <c r="N521" s="1">
        <v>13.98</v>
      </c>
      <c r="O521" s="1">
        <v>2.1000000000000001E-2</v>
      </c>
      <c r="P521" s="1">
        <v>7.45</v>
      </c>
      <c r="Q521" s="1">
        <v>40</v>
      </c>
      <c r="R521" s="1" t="s">
        <v>82</v>
      </c>
      <c r="S521" s="1">
        <v>238.11</v>
      </c>
      <c r="T521" s="1">
        <v>92</v>
      </c>
      <c r="U521" s="1">
        <v>2.08</v>
      </c>
      <c r="V521" s="1">
        <v>-6.26</v>
      </c>
      <c r="W521" s="1">
        <v>0.4</v>
      </c>
      <c r="X521" s="1">
        <f t="shared" si="63"/>
        <v>400</v>
      </c>
      <c r="Y521" s="1">
        <v>6.3</v>
      </c>
      <c r="Z521" s="1">
        <v>0.11</v>
      </c>
      <c r="AA521" s="1">
        <v>60.255102040816297</v>
      </c>
      <c r="AB521" s="1" t="s">
        <v>89</v>
      </c>
      <c r="AC521" s="1">
        <v>25</v>
      </c>
      <c r="AH521" s="1">
        <v>0.67398305084745802</v>
      </c>
      <c r="AJ521" s="1">
        <f>IF(ISNUMBER(AH521),1-AH521,"")</f>
        <v>0.32601694915254198</v>
      </c>
      <c r="AK521" s="1">
        <f>IF(AND(ISNUMBER(AJ521),AJ521&gt;0),LN(AJ521),"")</f>
        <v>-1.1208059077014623</v>
      </c>
      <c r="AM521">
        <v>68</v>
      </c>
      <c r="AN521">
        <f>IF(ISNUMBER(AJ521),IF(AJ521&gt;=0.05,1,0),"")</f>
        <v>1</v>
      </c>
      <c r="AO521">
        <f>IF(ISNUMBER(AJ521),IF(AJ521&lt;0.005,1,0),"")</f>
        <v>0</v>
      </c>
      <c r="AQ521" s="34"/>
      <c r="AR521" s="35"/>
      <c r="AS521" s="36"/>
    </row>
    <row r="522" spans="1:45" ht="57" x14ac:dyDescent="0.45">
      <c r="A522" s="1" t="s">
        <v>90</v>
      </c>
      <c r="B522" s="1" t="s">
        <v>86</v>
      </c>
      <c r="C522" s="1">
        <v>182</v>
      </c>
      <c r="D522" s="1">
        <v>444.44</v>
      </c>
      <c r="E522" s="1">
        <v>-1.3</v>
      </c>
      <c r="F522" s="1">
        <v>3.5</v>
      </c>
      <c r="G522" s="1">
        <v>3.6</v>
      </c>
      <c r="H522" s="1">
        <v>1.35</v>
      </c>
      <c r="I522" s="1">
        <v>3.29</v>
      </c>
      <c r="J522" s="1">
        <v>3.0992000000000002</v>
      </c>
      <c r="K522" s="1" t="s">
        <v>83</v>
      </c>
      <c r="N522" s="1">
        <v>13.98</v>
      </c>
      <c r="O522" s="1">
        <v>2.1000000000000001E-2</v>
      </c>
      <c r="P522" s="1">
        <v>7.45</v>
      </c>
      <c r="Q522" s="1">
        <v>40</v>
      </c>
      <c r="R522" s="1" t="s">
        <v>82</v>
      </c>
      <c r="S522" s="1">
        <v>238.11</v>
      </c>
      <c r="T522" s="1">
        <v>92</v>
      </c>
      <c r="U522" s="1">
        <v>2.08</v>
      </c>
      <c r="V522" s="1">
        <v>-6.26</v>
      </c>
      <c r="W522" s="1">
        <v>0.4</v>
      </c>
      <c r="X522" s="1">
        <f t="shared" si="63"/>
        <v>400</v>
      </c>
      <c r="Y522" s="1">
        <v>6.3</v>
      </c>
      <c r="Z522" s="1">
        <v>0.11</v>
      </c>
      <c r="AA522" s="1">
        <v>81.377551020408106</v>
      </c>
      <c r="AB522" s="1" t="s">
        <v>89</v>
      </c>
      <c r="AC522" s="1">
        <v>25</v>
      </c>
      <c r="AH522" s="1">
        <v>0.70127118644067798</v>
      </c>
      <c r="AJ522" s="1">
        <f>IF(ISNUMBER(AH522),1-AH522,"")</f>
        <v>0.29872881355932202</v>
      </c>
      <c r="AK522" s="1">
        <f>IF(AND(ISNUMBER(AJ522),AJ522&gt;0),LN(AJ522),"")</f>
        <v>-1.2082190952073872</v>
      </c>
      <c r="AM522">
        <v>68</v>
      </c>
      <c r="AN522">
        <f>IF(ISNUMBER(AJ522),IF(AJ522&gt;=0.05,1,0),"")</f>
        <v>1</v>
      </c>
      <c r="AO522">
        <f>IF(ISNUMBER(AJ522),IF(AJ522&lt;0.005,1,0),"")</f>
        <v>0</v>
      </c>
      <c r="AQ522" s="34"/>
      <c r="AR522" s="35"/>
      <c r="AS522" s="36"/>
    </row>
    <row r="523" spans="1:45" ht="57" x14ac:dyDescent="0.45">
      <c r="A523" s="1" t="s">
        <v>90</v>
      </c>
      <c r="B523" s="1" t="s">
        <v>86</v>
      </c>
      <c r="C523" s="1">
        <v>182</v>
      </c>
      <c r="D523" s="1">
        <v>444.44</v>
      </c>
      <c r="E523" s="1">
        <v>-1.3</v>
      </c>
      <c r="F523" s="1">
        <v>3.5</v>
      </c>
      <c r="G523" s="1">
        <v>3.6</v>
      </c>
      <c r="H523" s="1">
        <v>1.35</v>
      </c>
      <c r="I523" s="1">
        <v>3.29</v>
      </c>
      <c r="J523" s="1">
        <v>3.0992000000000002</v>
      </c>
      <c r="K523" s="1" t="s">
        <v>83</v>
      </c>
      <c r="N523" s="1">
        <v>13.98</v>
      </c>
      <c r="O523" s="1">
        <v>2.1000000000000001E-2</v>
      </c>
      <c r="P523" s="1">
        <v>7.45</v>
      </c>
      <c r="Q523" s="1">
        <v>40</v>
      </c>
      <c r="R523" s="1" t="s">
        <v>82</v>
      </c>
      <c r="S523" s="1">
        <v>238.11</v>
      </c>
      <c r="T523" s="1">
        <v>92</v>
      </c>
      <c r="U523" s="1">
        <v>2.08</v>
      </c>
      <c r="V523" s="1">
        <v>-6.26</v>
      </c>
      <c r="W523" s="1">
        <v>0.4</v>
      </c>
      <c r="X523" s="1">
        <f t="shared" si="63"/>
        <v>400</v>
      </c>
      <c r="Y523" s="1">
        <v>6.3</v>
      </c>
      <c r="Z523" s="1">
        <v>0.11</v>
      </c>
      <c r="AA523" s="1">
        <v>101.795918367346</v>
      </c>
      <c r="AB523" s="1" t="s">
        <v>89</v>
      </c>
      <c r="AC523" s="1">
        <v>25</v>
      </c>
      <c r="AH523" s="1">
        <v>0.71491525423728897</v>
      </c>
      <c r="AJ523" s="1">
        <f>IF(ISNUMBER(AH523),1-AH523,"")</f>
        <v>0.28508474576271103</v>
      </c>
      <c r="AK523" s="1">
        <f>IF(AND(ISNUMBER(AJ523),AJ523&gt;0),LN(AJ523),"")</f>
        <v>-1.2549687893609203</v>
      </c>
      <c r="AM523">
        <v>68</v>
      </c>
      <c r="AN523">
        <f>IF(ISNUMBER(AJ523),IF(AJ523&gt;=0.05,1,0),"")</f>
        <v>1</v>
      </c>
      <c r="AO523">
        <f>IF(ISNUMBER(AJ523),IF(AJ523&lt;0.005,1,0),"")</f>
        <v>0</v>
      </c>
      <c r="AQ523" s="34"/>
      <c r="AR523" s="35"/>
      <c r="AS523" s="36"/>
    </row>
    <row r="524" spans="1:45" ht="57" x14ac:dyDescent="0.45">
      <c r="A524" s="1" t="s">
        <v>90</v>
      </c>
      <c r="B524" s="1" t="s">
        <v>86</v>
      </c>
      <c r="C524" s="1">
        <v>182</v>
      </c>
      <c r="D524" s="1">
        <v>444.44</v>
      </c>
      <c r="E524" s="1">
        <v>-1.3</v>
      </c>
      <c r="F524" s="1">
        <v>3.5</v>
      </c>
      <c r="G524" s="1">
        <v>3.6</v>
      </c>
      <c r="H524" s="1">
        <v>1.35</v>
      </c>
      <c r="I524" s="1">
        <v>3.29</v>
      </c>
      <c r="J524" s="1">
        <v>3.0992000000000002</v>
      </c>
      <c r="K524" s="1" t="s">
        <v>83</v>
      </c>
      <c r="N524" s="1">
        <v>13.98</v>
      </c>
      <c r="O524" s="1">
        <v>2.1000000000000001E-2</v>
      </c>
      <c r="P524" s="1">
        <v>7.45</v>
      </c>
      <c r="Q524" s="1">
        <v>40</v>
      </c>
      <c r="R524" s="1" t="s">
        <v>82</v>
      </c>
      <c r="S524" s="1">
        <v>238.11</v>
      </c>
      <c r="T524" s="1">
        <v>92</v>
      </c>
      <c r="U524" s="1">
        <v>2.08</v>
      </c>
      <c r="V524" s="1">
        <v>-6.26</v>
      </c>
      <c r="W524" s="1">
        <v>0.4</v>
      </c>
      <c r="X524" s="1">
        <f t="shared" si="63"/>
        <v>400</v>
      </c>
      <c r="Y524" s="1">
        <v>6.3</v>
      </c>
      <c r="Z524" s="1">
        <v>0.11</v>
      </c>
      <c r="AA524" s="1">
        <v>121.510204081632</v>
      </c>
      <c r="AB524" s="1" t="s">
        <v>89</v>
      </c>
      <c r="AC524" s="1">
        <v>25</v>
      </c>
      <c r="AH524" s="1">
        <v>0.72076271186440699</v>
      </c>
      <c r="AJ524" s="1">
        <f>IF(ISNUMBER(AH524),1-AH524,"")</f>
        <v>0.27923728813559301</v>
      </c>
      <c r="AK524" s="1">
        <f>IF(AND(ISNUMBER(AJ524),AJ524&gt;0),LN(AJ524),"")</f>
        <v>-1.2756933635171492</v>
      </c>
      <c r="AM524">
        <v>68</v>
      </c>
      <c r="AN524">
        <f>IF(ISNUMBER(AJ524),IF(AJ524&gt;=0.05,1,0),"")</f>
        <v>1</v>
      </c>
      <c r="AO524">
        <f>IF(ISNUMBER(AJ524),IF(AJ524&lt;0.005,1,0),"")</f>
        <v>0</v>
      </c>
      <c r="AQ524" s="34"/>
      <c r="AR524" s="35"/>
      <c r="AS524" s="36"/>
    </row>
    <row r="525" spans="1:45" ht="57" x14ac:dyDescent="0.45">
      <c r="A525" s="1" t="s">
        <v>91</v>
      </c>
      <c r="B525" s="1" t="s">
        <v>86</v>
      </c>
      <c r="C525" s="1">
        <v>182</v>
      </c>
      <c r="D525" s="1">
        <v>444.44</v>
      </c>
      <c r="E525" s="1">
        <v>-1.3</v>
      </c>
      <c r="F525" s="1">
        <v>3.5</v>
      </c>
      <c r="G525" s="1">
        <v>3.6</v>
      </c>
      <c r="H525" s="1">
        <v>1.35</v>
      </c>
      <c r="I525" s="1">
        <v>3.29</v>
      </c>
      <c r="J525" s="1">
        <v>3.0992000000000002</v>
      </c>
      <c r="K525" s="1" t="s">
        <v>83</v>
      </c>
      <c r="N525" s="1">
        <v>13.98</v>
      </c>
      <c r="O525" s="1">
        <v>2.1000000000000001E-2</v>
      </c>
      <c r="P525" s="1">
        <v>7.45</v>
      </c>
      <c r="Q525" s="1">
        <v>40</v>
      </c>
      <c r="R525" s="1" t="s">
        <v>82</v>
      </c>
      <c r="S525" s="1">
        <v>238.11</v>
      </c>
      <c r="T525" s="1">
        <v>92</v>
      </c>
      <c r="U525" s="1">
        <v>2.08</v>
      </c>
      <c r="V525" s="1">
        <v>-6.26</v>
      </c>
      <c r="W525" s="1">
        <v>0.3</v>
      </c>
      <c r="X525" s="1">
        <f t="shared" si="63"/>
        <v>300</v>
      </c>
      <c r="Y525" s="1">
        <v>6.3</v>
      </c>
      <c r="Z525" s="1">
        <v>0.11</v>
      </c>
      <c r="AA525" s="1">
        <v>2.58923872180509E-2</v>
      </c>
      <c r="AC525" s="1">
        <v>25</v>
      </c>
      <c r="AH525" s="1">
        <v>3.5681421793754997E-2</v>
      </c>
      <c r="AI525" s="1">
        <v>1.1452469545121658E-2</v>
      </c>
      <c r="AJ525" s="1">
        <f>IF(ISNUMBER(AH525),1-AH525,"")</f>
        <v>0.964318578206245</v>
      </c>
      <c r="AK525" s="1">
        <f>IF(AND(ISNUMBER(AJ525),AJ525&gt;0),LN(AJ525),"")</f>
        <v>-3.6333563648849841E-2</v>
      </c>
      <c r="AM525">
        <v>69</v>
      </c>
      <c r="AN525">
        <f>IF(ISNUMBER(AJ525),IF(AJ525&gt;=0.05,1,0),"")</f>
        <v>1</v>
      </c>
      <c r="AO525">
        <f>IF(ISNUMBER(AJ525),IF(AJ525&lt;0.005,1,0),"")</f>
        <v>0</v>
      </c>
      <c r="AP525">
        <f>IFERROR(MATCH(0,AN525:AN532,0)-1,8)</f>
        <v>8</v>
      </c>
      <c r="AQ525" s="34">
        <f>IF(AP525&lt;3,"n&lt;3",IFERROR(-SLOPE(AK525:INDEX(AK525:AK532,AP525),AA525:INDEX(AA525:AA532,AP525)),"no fit"))</f>
        <v>9.2801507944864775E-3</v>
      </c>
      <c r="AR525" s="35">
        <f>IF(AP525&lt;3,"",IFERROR(RSQ(AK525:INDEX(AK525:AK532,AP525),AA525:INDEX(AA525:AA532,AP525)),"flat"))</f>
        <v>0.72976462995873981</v>
      </c>
      <c r="AS525" s="36">
        <f>IFERROR(AQ525/AI525,"")</f>
        <v>0.81031874897580403</v>
      </c>
    </row>
    <row r="526" spans="1:45" ht="57" x14ac:dyDescent="0.45">
      <c r="A526" s="1" t="s">
        <v>91</v>
      </c>
      <c r="B526" s="1" t="s">
        <v>86</v>
      </c>
      <c r="C526" s="1">
        <v>182</v>
      </c>
      <c r="D526" s="1">
        <v>444.44</v>
      </c>
      <c r="E526" s="1">
        <v>-1.3</v>
      </c>
      <c r="F526" s="1">
        <v>3.5</v>
      </c>
      <c r="G526" s="1">
        <v>3.6</v>
      </c>
      <c r="H526" s="1">
        <v>1.35</v>
      </c>
      <c r="I526" s="1">
        <v>3.29</v>
      </c>
      <c r="J526" s="1">
        <v>3.0992000000000002</v>
      </c>
      <c r="K526" s="1" t="s">
        <v>83</v>
      </c>
      <c r="N526" s="1">
        <v>13.98</v>
      </c>
      <c r="O526" s="1">
        <v>2.1000000000000001E-2</v>
      </c>
      <c r="P526" s="1">
        <v>7.45</v>
      </c>
      <c r="Q526" s="1">
        <v>40</v>
      </c>
      <c r="R526" s="1" t="s">
        <v>82</v>
      </c>
      <c r="S526" s="1">
        <v>238.11</v>
      </c>
      <c r="T526" s="1">
        <v>92</v>
      </c>
      <c r="U526" s="1">
        <v>2.08</v>
      </c>
      <c r="V526" s="1">
        <v>-6.26</v>
      </c>
      <c r="W526" s="1">
        <v>0.3</v>
      </c>
      <c r="X526" s="1">
        <f t="shared" si="63"/>
        <v>300</v>
      </c>
      <c r="Y526" s="1">
        <v>6.3</v>
      </c>
      <c r="Z526" s="1">
        <v>0.11</v>
      </c>
      <c r="AA526" s="1">
        <v>10.0888247180451</v>
      </c>
      <c r="AC526" s="1">
        <v>25</v>
      </c>
      <c r="AH526" s="1">
        <v>0.478324145674352</v>
      </c>
      <c r="AJ526" s="1">
        <f>IF(ISNUMBER(AH526),1-AH526,"")</f>
        <v>0.521675854325648</v>
      </c>
      <c r="AK526" s="1">
        <f>IF(AND(ISNUMBER(AJ526),AJ526&gt;0),LN(AJ526),"")</f>
        <v>-0.65070885270524204</v>
      </c>
      <c r="AM526">
        <v>69</v>
      </c>
      <c r="AN526">
        <f>IF(ISNUMBER(AJ526),IF(AJ526&gt;=0.05,1,0),"")</f>
        <v>1</v>
      </c>
      <c r="AO526">
        <f>IF(ISNUMBER(AJ526),IF(AJ526&lt;0.005,1,0),"")</f>
        <v>0</v>
      </c>
      <c r="AQ526" s="34"/>
      <c r="AR526" s="35"/>
      <c r="AS526" s="36"/>
    </row>
    <row r="527" spans="1:45" ht="57" x14ac:dyDescent="0.45">
      <c r="A527" s="1" t="s">
        <v>91</v>
      </c>
      <c r="B527" s="1" t="s">
        <v>86</v>
      </c>
      <c r="C527" s="1">
        <v>182</v>
      </c>
      <c r="D527" s="1">
        <v>444.44</v>
      </c>
      <c r="E527" s="1">
        <v>-1.3</v>
      </c>
      <c r="F527" s="1">
        <v>3.5</v>
      </c>
      <c r="G527" s="1">
        <v>3.6</v>
      </c>
      <c r="H527" s="1">
        <v>1.35</v>
      </c>
      <c r="I527" s="1">
        <v>3.29</v>
      </c>
      <c r="J527" s="1">
        <v>3.0992000000000002</v>
      </c>
      <c r="K527" s="1" t="s">
        <v>83</v>
      </c>
      <c r="N527" s="1">
        <v>13.98</v>
      </c>
      <c r="O527" s="1">
        <v>2.1000000000000001E-2</v>
      </c>
      <c r="P527" s="1">
        <v>7.45</v>
      </c>
      <c r="Q527" s="1">
        <v>40</v>
      </c>
      <c r="R527" s="1" t="s">
        <v>82</v>
      </c>
      <c r="S527" s="1">
        <v>238.11</v>
      </c>
      <c r="T527" s="1">
        <v>92</v>
      </c>
      <c r="U527" s="1">
        <v>2.08</v>
      </c>
      <c r="V527" s="1">
        <v>-6.26</v>
      </c>
      <c r="W527" s="1">
        <v>0.3</v>
      </c>
      <c r="X527" s="1">
        <f t="shared" si="63"/>
        <v>300</v>
      </c>
      <c r="Y527" s="1">
        <v>6.3</v>
      </c>
      <c r="Z527" s="1">
        <v>0.11</v>
      </c>
      <c r="AA527" s="1">
        <v>20.151757048872099</v>
      </c>
      <c r="AC527" s="1">
        <v>25</v>
      </c>
      <c r="AH527" s="1">
        <v>0.59182228000270998</v>
      </c>
      <c r="AJ527" s="1">
        <f>IF(ISNUMBER(AH527),1-AH527,"")</f>
        <v>0.40817771999729002</v>
      </c>
      <c r="AK527" s="1">
        <f>IF(AND(ISNUMBER(AJ527),AJ527&gt;0),LN(AJ527),"")</f>
        <v>-0.89605261119033575</v>
      </c>
      <c r="AM527">
        <v>69</v>
      </c>
      <c r="AN527">
        <f>IF(ISNUMBER(AJ527),IF(AJ527&gt;=0.05,1,0),"")</f>
        <v>1</v>
      </c>
      <c r="AO527">
        <f>IF(ISNUMBER(AJ527),IF(AJ527&lt;0.005,1,0),"")</f>
        <v>0</v>
      </c>
      <c r="AQ527" s="34"/>
      <c r="AR527" s="35"/>
      <c r="AS527" s="36"/>
    </row>
    <row r="528" spans="1:45" ht="57" x14ac:dyDescent="0.45">
      <c r="A528" s="1" t="s">
        <v>91</v>
      </c>
      <c r="B528" s="1" t="s">
        <v>86</v>
      </c>
      <c r="C528" s="1">
        <v>182</v>
      </c>
      <c r="D528" s="1">
        <v>444.44</v>
      </c>
      <c r="E528" s="1">
        <v>-1.3</v>
      </c>
      <c r="F528" s="1">
        <v>3.5</v>
      </c>
      <c r="G528" s="1">
        <v>3.6</v>
      </c>
      <c r="H528" s="1">
        <v>1.35</v>
      </c>
      <c r="I528" s="1">
        <v>3.29</v>
      </c>
      <c r="J528" s="1">
        <v>3.0992000000000002</v>
      </c>
      <c r="K528" s="1" t="s">
        <v>83</v>
      </c>
      <c r="N528" s="1">
        <v>13.98</v>
      </c>
      <c r="O528" s="1">
        <v>2.1000000000000001E-2</v>
      </c>
      <c r="P528" s="1">
        <v>7.45</v>
      </c>
      <c r="Q528" s="1">
        <v>40</v>
      </c>
      <c r="R528" s="1" t="s">
        <v>82</v>
      </c>
      <c r="S528" s="1">
        <v>238.11</v>
      </c>
      <c r="T528" s="1">
        <v>92</v>
      </c>
      <c r="U528" s="1">
        <v>2.08</v>
      </c>
      <c r="V528" s="1">
        <v>-6.26</v>
      </c>
      <c r="W528" s="1">
        <v>0.3</v>
      </c>
      <c r="X528" s="1">
        <f t="shared" si="63"/>
        <v>300</v>
      </c>
      <c r="Y528" s="1">
        <v>6.3</v>
      </c>
      <c r="Z528" s="1">
        <v>0.11</v>
      </c>
      <c r="AA528" s="1">
        <v>39.591512687969903</v>
      </c>
      <c r="AC528" s="1">
        <v>25</v>
      </c>
      <c r="AH528" s="1">
        <v>0.68035082477882902</v>
      </c>
      <c r="AJ528" s="1">
        <f>IF(ISNUMBER(AH528),1-AH528,"")</f>
        <v>0.31964917522117098</v>
      </c>
      <c r="AK528" s="1">
        <f>IF(AND(ISNUMBER(AJ528),AJ528&gt;0),LN(AJ528),"")</f>
        <v>-1.1405312120287259</v>
      </c>
      <c r="AM528">
        <v>69</v>
      </c>
      <c r="AN528">
        <f>IF(ISNUMBER(AJ528),IF(AJ528&gt;=0.05,1,0),"")</f>
        <v>1</v>
      </c>
      <c r="AO528">
        <f>IF(ISNUMBER(AJ528),IF(AJ528&lt;0.005,1,0),"")</f>
        <v>0</v>
      </c>
      <c r="AQ528" s="34"/>
      <c r="AR528" s="35"/>
      <c r="AS528" s="36"/>
    </row>
    <row r="529" spans="1:45" ht="57" x14ac:dyDescent="0.45">
      <c r="A529" s="1" t="s">
        <v>91</v>
      </c>
      <c r="B529" s="1" t="s">
        <v>86</v>
      </c>
      <c r="C529" s="1">
        <v>182</v>
      </c>
      <c r="D529" s="1">
        <v>444.44</v>
      </c>
      <c r="E529" s="1">
        <v>-1.3</v>
      </c>
      <c r="F529" s="1">
        <v>3.5</v>
      </c>
      <c r="G529" s="1">
        <v>3.6</v>
      </c>
      <c r="H529" s="1">
        <v>1.35</v>
      </c>
      <c r="I529" s="1">
        <v>3.29</v>
      </c>
      <c r="J529" s="1">
        <v>3.0992000000000002</v>
      </c>
      <c r="K529" s="1" t="s">
        <v>83</v>
      </c>
      <c r="N529" s="1">
        <v>13.98</v>
      </c>
      <c r="O529" s="1">
        <v>2.1000000000000001E-2</v>
      </c>
      <c r="P529" s="1">
        <v>7.45</v>
      </c>
      <c r="Q529" s="1">
        <v>40</v>
      </c>
      <c r="R529" s="1" t="s">
        <v>82</v>
      </c>
      <c r="S529" s="1">
        <v>238.11</v>
      </c>
      <c r="T529" s="1">
        <v>92</v>
      </c>
      <c r="U529" s="1">
        <v>2.08</v>
      </c>
      <c r="V529" s="1">
        <v>-6.26</v>
      </c>
      <c r="W529" s="1">
        <v>0.3</v>
      </c>
      <c r="X529" s="1">
        <f t="shared" si="63"/>
        <v>300</v>
      </c>
      <c r="Y529" s="1">
        <v>6.3</v>
      </c>
      <c r="Z529" s="1">
        <v>0.11</v>
      </c>
      <c r="AA529" s="1">
        <v>59.259971334586403</v>
      </c>
      <c r="AC529" s="1">
        <v>25</v>
      </c>
      <c r="AH529" s="1">
        <v>0.70759037701763394</v>
      </c>
      <c r="AJ529" s="1">
        <f>IF(ISNUMBER(AH529),1-AH529,"")</f>
        <v>0.29240962298236606</v>
      </c>
      <c r="AK529" s="1">
        <f>IF(AND(ISNUMBER(AJ529),AJ529&gt;0),LN(AJ529),"")</f>
        <v>-1.2295996413116377</v>
      </c>
      <c r="AM529">
        <v>69</v>
      </c>
      <c r="AN529">
        <f>IF(ISNUMBER(AJ529),IF(AJ529&gt;=0.05,1,0),"")</f>
        <v>1</v>
      </c>
      <c r="AO529">
        <f>IF(ISNUMBER(AJ529),IF(AJ529&lt;0.005,1,0),"")</f>
        <v>0</v>
      </c>
      <c r="AQ529" s="34"/>
      <c r="AR529" s="35"/>
      <c r="AS529" s="36"/>
    </row>
    <row r="530" spans="1:45" ht="57" x14ac:dyDescent="0.45">
      <c r="A530" s="1" t="s">
        <v>91</v>
      </c>
      <c r="B530" s="1" t="s">
        <v>86</v>
      </c>
      <c r="C530" s="1">
        <v>182</v>
      </c>
      <c r="D530" s="1">
        <v>444.44</v>
      </c>
      <c r="E530" s="1">
        <v>-1.3</v>
      </c>
      <c r="F530" s="1">
        <v>3.5</v>
      </c>
      <c r="G530" s="1">
        <v>3.6</v>
      </c>
      <c r="H530" s="1">
        <v>1.35</v>
      </c>
      <c r="I530" s="1">
        <v>3.29</v>
      </c>
      <c r="J530" s="1">
        <v>3.0992000000000002</v>
      </c>
      <c r="K530" s="1" t="s">
        <v>83</v>
      </c>
      <c r="N530" s="1">
        <v>13.98</v>
      </c>
      <c r="O530" s="1">
        <v>2.1000000000000001E-2</v>
      </c>
      <c r="P530" s="1">
        <v>7.45</v>
      </c>
      <c r="Q530" s="1">
        <v>40</v>
      </c>
      <c r="R530" s="1" t="s">
        <v>82</v>
      </c>
      <c r="S530" s="1">
        <v>238.11</v>
      </c>
      <c r="T530" s="1">
        <v>92</v>
      </c>
      <c r="U530" s="1">
        <v>2.08</v>
      </c>
      <c r="V530" s="1">
        <v>-6.26</v>
      </c>
      <c r="W530" s="1">
        <v>0.3</v>
      </c>
      <c r="X530" s="1">
        <f t="shared" si="63"/>
        <v>300</v>
      </c>
      <c r="Y530" s="1">
        <v>6.3</v>
      </c>
      <c r="Z530" s="1">
        <v>0.11</v>
      </c>
      <c r="AA530" s="1">
        <v>79.614539003759305</v>
      </c>
      <c r="AC530" s="1">
        <v>25</v>
      </c>
      <c r="AH530" s="1">
        <v>0.73709989194300807</v>
      </c>
      <c r="AJ530" s="1">
        <f>IF(ISNUMBER(AH530),1-AH530,"")</f>
        <v>0.26290010805699193</v>
      </c>
      <c r="AK530" s="1">
        <f>IF(AND(ISNUMBER(AJ530),AJ530&gt;0),LN(AJ530),"")</f>
        <v>-1.3359811362270178</v>
      </c>
      <c r="AM530">
        <v>69</v>
      </c>
      <c r="AN530">
        <f>IF(ISNUMBER(AJ530),IF(AJ530&gt;=0.05,1,0),"")</f>
        <v>1</v>
      </c>
      <c r="AO530">
        <f>IF(ISNUMBER(AJ530),IF(AJ530&lt;0.005,1,0),"")</f>
        <v>0</v>
      </c>
      <c r="AQ530" s="34"/>
      <c r="AR530" s="35"/>
      <c r="AS530" s="36"/>
    </row>
    <row r="531" spans="1:45" ht="57" x14ac:dyDescent="0.45">
      <c r="A531" s="1" t="s">
        <v>91</v>
      </c>
      <c r="B531" s="1" t="s">
        <v>86</v>
      </c>
      <c r="C531" s="1">
        <v>182</v>
      </c>
      <c r="D531" s="1">
        <v>444.44</v>
      </c>
      <c r="E531" s="1">
        <v>-1.3</v>
      </c>
      <c r="F531" s="1">
        <v>3.5</v>
      </c>
      <c r="G531" s="1">
        <v>3.6</v>
      </c>
      <c r="H531" s="1">
        <v>1.35</v>
      </c>
      <c r="I531" s="1">
        <v>3.29</v>
      </c>
      <c r="J531" s="1">
        <v>3.0992000000000002</v>
      </c>
      <c r="K531" s="1" t="s">
        <v>83</v>
      </c>
      <c r="N531" s="1">
        <v>13.98</v>
      </c>
      <c r="O531" s="1">
        <v>2.1000000000000001E-2</v>
      </c>
      <c r="P531" s="1">
        <v>7.45</v>
      </c>
      <c r="Q531" s="1">
        <v>40</v>
      </c>
      <c r="R531" s="1" t="s">
        <v>82</v>
      </c>
      <c r="S531" s="1">
        <v>238.11</v>
      </c>
      <c r="T531" s="1">
        <v>92</v>
      </c>
      <c r="U531" s="1">
        <v>2.08</v>
      </c>
      <c r="V531" s="1">
        <v>-6.26</v>
      </c>
      <c r="W531" s="1">
        <v>0.3</v>
      </c>
      <c r="X531" s="1">
        <f t="shared" si="63"/>
        <v>300</v>
      </c>
      <c r="Y531" s="1">
        <v>6.3</v>
      </c>
      <c r="Z531" s="1">
        <v>0.11</v>
      </c>
      <c r="AA531" s="1">
        <v>99.740403665413496</v>
      </c>
      <c r="AC531" s="1">
        <v>25</v>
      </c>
      <c r="AH531" s="1">
        <v>0.75071966806241097</v>
      </c>
      <c r="AJ531" s="1">
        <f>IF(ISNUMBER(AH531),1-AH531,"")</f>
        <v>0.24928033193758903</v>
      </c>
      <c r="AK531" s="1">
        <f>IF(AND(ISNUMBER(AJ531),AJ531&gt;0),LN(AJ531),"")</f>
        <v>-1.3891771847153183</v>
      </c>
      <c r="AM531">
        <v>69</v>
      </c>
      <c r="AN531">
        <f>IF(ISNUMBER(AJ531),IF(AJ531&gt;=0.05,1,0),"")</f>
        <v>1</v>
      </c>
      <c r="AO531">
        <f>IF(ISNUMBER(AJ531),IF(AJ531&lt;0.005,1,0),"")</f>
        <v>0</v>
      </c>
      <c r="AQ531" s="34"/>
      <c r="AR531" s="35"/>
      <c r="AS531" s="36"/>
    </row>
    <row r="532" spans="1:45" ht="57" x14ac:dyDescent="0.45">
      <c r="A532" s="1" t="s">
        <v>91</v>
      </c>
      <c r="B532" s="1" t="s">
        <v>86</v>
      </c>
      <c r="C532" s="1">
        <v>182</v>
      </c>
      <c r="D532" s="1">
        <v>444.44</v>
      </c>
      <c r="E532" s="1">
        <v>-1.3</v>
      </c>
      <c r="F532" s="1">
        <v>3.5</v>
      </c>
      <c r="G532" s="1">
        <v>3.6</v>
      </c>
      <c r="H532" s="1">
        <v>1.35</v>
      </c>
      <c r="I532" s="1">
        <v>3.29</v>
      </c>
      <c r="J532" s="1">
        <v>3.0992000000000002</v>
      </c>
      <c r="K532" s="1" t="s">
        <v>83</v>
      </c>
      <c r="N532" s="1">
        <v>13.98</v>
      </c>
      <c r="O532" s="1">
        <v>2.1000000000000001E-2</v>
      </c>
      <c r="P532" s="1">
        <v>7.45</v>
      </c>
      <c r="Q532" s="1">
        <v>40</v>
      </c>
      <c r="R532" s="1" t="s">
        <v>82</v>
      </c>
      <c r="S532" s="1">
        <v>238.11</v>
      </c>
      <c r="T532" s="1">
        <v>92</v>
      </c>
      <c r="U532" s="1">
        <v>2.08</v>
      </c>
      <c r="V532" s="1">
        <v>-6.26</v>
      </c>
      <c r="W532" s="1">
        <v>0.3</v>
      </c>
      <c r="X532" s="1">
        <f t="shared" si="63"/>
        <v>300</v>
      </c>
      <c r="Y532" s="1">
        <v>6.3</v>
      </c>
      <c r="Z532" s="1">
        <v>0.11</v>
      </c>
      <c r="AA532" s="1">
        <v>118.95145629699201</v>
      </c>
      <c r="AC532" s="1">
        <v>25</v>
      </c>
      <c r="AH532" s="1">
        <v>0.75298963074897696</v>
      </c>
      <c r="AJ532" s="1">
        <f>IF(ISNUMBER(AH532),1-AH532,"")</f>
        <v>0.24701036925102304</v>
      </c>
      <c r="AK532" s="1">
        <f>IF(AND(ISNUMBER(AJ532),AJ532&gt;0),LN(AJ532),"")</f>
        <v>-1.3983249624619551</v>
      </c>
      <c r="AM532">
        <v>69</v>
      </c>
      <c r="AN532">
        <f>IF(ISNUMBER(AJ532),IF(AJ532&gt;=0.05,1,0),"")</f>
        <v>1</v>
      </c>
      <c r="AO532">
        <f>IF(ISNUMBER(AJ532),IF(AJ532&lt;0.005,1,0),"")</f>
        <v>0</v>
      </c>
      <c r="AQ532" s="34"/>
      <c r="AR532" s="35"/>
      <c r="AS532" s="36"/>
    </row>
    <row r="533" spans="1:45" ht="57" x14ac:dyDescent="0.45">
      <c r="A533" s="1" t="s">
        <v>91</v>
      </c>
      <c r="B533" s="1" t="s">
        <v>86</v>
      </c>
      <c r="C533" s="1">
        <v>182</v>
      </c>
      <c r="D533" s="1">
        <v>444.44</v>
      </c>
      <c r="E533" s="1">
        <v>-1.3</v>
      </c>
      <c r="F533" s="1">
        <v>3.5</v>
      </c>
      <c r="G533" s="1">
        <v>3.6</v>
      </c>
      <c r="H533" s="1">
        <v>1.35</v>
      </c>
      <c r="I533" s="1">
        <v>3.29</v>
      </c>
      <c r="J533" s="1">
        <v>3.0992000000000002</v>
      </c>
      <c r="K533" s="1" t="s">
        <v>83</v>
      </c>
      <c r="N533" s="1">
        <v>13.98</v>
      </c>
      <c r="O533" s="1">
        <v>2.1000000000000001E-2</v>
      </c>
      <c r="P533" s="1">
        <v>7.45</v>
      </c>
      <c r="Q533" s="1">
        <v>40</v>
      </c>
      <c r="R533" s="1" t="s">
        <v>82</v>
      </c>
      <c r="S533" s="1">
        <v>238.11</v>
      </c>
      <c r="T533" s="1">
        <v>92</v>
      </c>
      <c r="U533" s="1">
        <v>2.08</v>
      </c>
      <c r="V533" s="1">
        <v>-6.26</v>
      </c>
      <c r="W533" s="1">
        <v>0.3</v>
      </c>
      <c r="X533" s="1">
        <f t="shared" si="63"/>
        <v>300</v>
      </c>
      <c r="Y533" s="1">
        <v>6.3</v>
      </c>
      <c r="Z533" s="1">
        <v>0.11</v>
      </c>
      <c r="AA533" s="1">
        <v>0.48329840225565301</v>
      </c>
      <c r="AC533" s="1">
        <v>35</v>
      </c>
      <c r="AH533" s="1">
        <v>3.3411459107188013E-2</v>
      </c>
      <c r="AI533" s="1">
        <v>1.2527016833572786E-2</v>
      </c>
      <c r="AJ533" s="1">
        <f>IF(ISNUMBER(AH533),1-AH533,"")</f>
        <v>0.96658854089281199</v>
      </c>
      <c r="AK533" s="1">
        <f>IF(AND(ISNUMBER(AJ533),AJ533&gt;0),LN(AJ533),"")</f>
        <v>-3.3982374707831185E-2</v>
      </c>
      <c r="AM533">
        <v>70</v>
      </c>
      <c r="AN533">
        <f>IF(ISNUMBER(AJ533),IF(AJ533&gt;=0.05,1,0),"")</f>
        <v>1</v>
      </c>
      <c r="AO533">
        <f>IF(ISNUMBER(AJ533),IF(AJ533&lt;0.005,1,0),"")</f>
        <v>0</v>
      </c>
      <c r="AP533">
        <f>IFERROR(MATCH(0,AN533:AN540,0)-1,8)</f>
        <v>8</v>
      </c>
      <c r="AQ533" s="34">
        <f>IF(AP533&lt;3,"n&lt;3",IFERROR(-SLOPE(AK533:INDEX(AK533:AK540,AP533),AA533:INDEX(AA533:AA540,AP533)),"no fit"))</f>
        <v>9.0213143527439598E-3</v>
      </c>
      <c r="AR533" s="35">
        <f>IF(AP533&lt;3,"",IFERROR(RSQ(AK533:INDEX(AK533:AK540,AP533),AA533:INDEX(AA533:AA540,AP533)),"flat"))</f>
        <v>0.64121531368591622</v>
      </c>
      <c r="AS533" s="36">
        <f>IFERROR(AQ533/AI533,"")</f>
        <v>0.72014865730574917</v>
      </c>
    </row>
    <row r="534" spans="1:45" ht="57" x14ac:dyDescent="0.45">
      <c r="A534" s="1" t="s">
        <v>91</v>
      </c>
      <c r="B534" s="1" t="s">
        <v>86</v>
      </c>
      <c r="C534" s="1">
        <v>182</v>
      </c>
      <c r="D534" s="1">
        <v>444.44</v>
      </c>
      <c r="E534" s="1">
        <v>-1.3</v>
      </c>
      <c r="F534" s="1">
        <v>3.5</v>
      </c>
      <c r="G534" s="1">
        <v>3.6</v>
      </c>
      <c r="H534" s="1">
        <v>1.35</v>
      </c>
      <c r="I534" s="1">
        <v>3.29</v>
      </c>
      <c r="J534" s="1">
        <v>3.0992000000000002</v>
      </c>
      <c r="K534" s="1" t="s">
        <v>83</v>
      </c>
      <c r="N534" s="1">
        <v>13.98</v>
      </c>
      <c r="O534" s="1">
        <v>2.1000000000000001E-2</v>
      </c>
      <c r="P534" s="1">
        <v>7.45</v>
      </c>
      <c r="Q534" s="1">
        <v>40</v>
      </c>
      <c r="R534" s="1" t="s">
        <v>82</v>
      </c>
      <c r="S534" s="1">
        <v>238.11</v>
      </c>
      <c r="T534" s="1">
        <v>92</v>
      </c>
      <c r="U534" s="1">
        <v>2.08</v>
      </c>
      <c r="V534" s="1">
        <v>-6.26</v>
      </c>
      <c r="W534" s="1">
        <v>0.3</v>
      </c>
      <c r="X534" s="1">
        <f t="shared" si="63"/>
        <v>300</v>
      </c>
      <c r="Y534" s="1">
        <v>6.3</v>
      </c>
      <c r="Z534" s="1">
        <v>0.11</v>
      </c>
      <c r="AA534" s="1">
        <v>10.0888247180451</v>
      </c>
      <c r="AC534" s="1">
        <v>35</v>
      </c>
      <c r="AH534" s="1">
        <v>0.57593254119673898</v>
      </c>
      <c r="AJ534" s="1">
        <f>IF(ISNUMBER(AH534),1-AH534,"")</f>
        <v>0.42406745880326102</v>
      </c>
      <c r="AK534" s="1">
        <f>IF(AND(ISNUMBER(AJ534),AJ534&gt;0),LN(AJ534),"")</f>
        <v>-0.85786273545430602</v>
      </c>
      <c r="AM534">
        <v>70</v>
      </c>
      <c r="AN534">
        <f>IF(ISNUMBER(AJ534),IF(AJ534&gt;=0.05,1,0),"")</f>
        <v>1</v>
      </c>
      <c r="AO534">
        <f>IF(ISNUMBER(AJ534),IF(AJ534&lt;0.005,1,0),"")</f>
        <v>0</v>
      </c>
      <c r="AQ534" s="34"/>
      <c r="AR534" s="35"/>
      <c r="AS534" s="36"/>
    </row>
    <row r="535" spans="1:45" ht="57" x14ac:dyDescent="0.45">
      <c r="A535" s="1" t="s">
        <v>91</v>
      </c>
      <c r="B535" s="1" t="s">
        <v>86</v>
      </c>
      <c r="C535" s="1">
        <v>182</v>
      </c>
      <c r="D535" s="1">
        <v>444.44</v>
      </c>
      <c r="E535" s="1">
        <v>-1.3</v>
      </c>
      <c r="F535" s="1">
        <v>3.5</v>
      </c>
      <c r="G535" s="1">
        <v>3.6</v>
      </c>
      <c r="H535" s="1">
        <v>1.35</v>
      </c>
      <c r="I535" s="1">
        <v>3.29</v>
      </c>
      <c r="J535" s="1">
        <v>3.0992000000000002</v>
      </c>
      <c r="K535" s="1" t="s">
        <v>83</v>
      </c>
      <c r="N535" s="1">
        <v>13.98</v>
      </c>
      <c r="O535" s="1">
        <v>2.1000000000000001E-2</v>
      </c>
      <c r="P535" s="1">
        <v>7.45</v>
      </c>
      <c r="Q535" s="1">
        <v>40</v>
      </c>
      <c r="R535" s="1" t="s">
        <v>82</v>
      </c>
      <c r="S535" s="1">
        <v>238.11</v>
      </c>
      <c r="T535" s="1">
        <v>92</v>
      </c>
      <c r="U535" s="1">
        <v>2.08</v>
      </c>
      <c r="V535" s="1">
        <v>-6.26</v>
      </c>
      <c r="W535" s="1">
        <v>0.3</v>
      </c>
      <c r="X535" s="1">
        <f t="shared" si="63"/>
        <v>300</v>
      </c>
      <c r="Y535" s="1">
        <v>6.3</v>
      </c>
      <c r="Z535" s="1">
        <v>0.11</v>
      </c>
      <c r="AA535" s="1">
        <v>19.465648026315701</v>
      </c>
      <c r="AC535" s="1">
        <v>35</v>
      </c>
      <c r="AH535" s="1">
        <v>0.66219112328629093</v>
      </c>
      <c r="AJ535" s="1">
        <f>IF(ISNUMBER(AH535),1-AH535,"")</f>
        <v>0.33780887671370907</v>
      </c>
      <c r="AK535" s="1">
        <f>IF(AND(ISNUMBER(AJ535),AJ535&gt;0),LN(AJ535),"")</f>
        <v>-1.0852749969379818</v>
      </c>
      <c r="AM535">
        <v>70</v>
      </c>
      <c r="AN535">
        <f>IF(ISNUMBER(AJ535),IF(AJ535&gt;=0.05,1,0),"")</f>
        <v>1</v>
      </c>
      <c r="AO535">
        <f>IF(ISNUMBER(AJ535),IF(AJ535&lt;0.005,1,0),"")</f>
        <v>0</v>
      </c>
      <c r="AQ535" s="34"/>
      <c r="AR535" s="35"/>
      <c r="AS535" s="36"/>
    </row>
    <row r="536" spans="1:45" ht="57" x14ac:dyDescent="0.45">
      <c r="A536" s="1" t="s">
        <v>91</v>
      </c>
      <c r="B536" s="1" t="s">
        <v>86</v>
      </c>
      <c r="C536" s="1">
        <v>182</v>
      </c>
      <c r="D536" s="1">
        <v>444.44</v>
      </c>
      <c r="E536" s="1">
        <v>-1.3</v>
      </c>
      <c r="F536" s="1">
        <v>3.5</v>
      </c>
      <c r="G536" s="1">
        <v>3.6</v>
      </c>
      <c r="H536" s="1">
        <v>1.35</v>
      </c>
      <c r="I536" s="1">
        <v>3.29</v>
      </c>
      <c r="J536" s="1">
        <v>3.0992000000000002</v>
      </c>
      <c r="K536" s="1" t="s">
        <v>83</v>
      </c>
      <c r="N536" s="1">
        <v>13.98</v>
      </c>
      <c r="O536" s="1">
        <v>2.1000000000000001E-2</v>
      </c>
      <c r="P536" s="1">
        <v>7.45</v>
      </c>
      <c r="Q536" s="1">
        <v>40</v>
      </c>
      <c r="R536" s="1" t="s">
        <v>82</v>
      </c>
      <c r="S536" s="1">
        <v>238.11</v>
      </c>
      <c r="T536" s="1">
        <v>92</v>
      </c>
      <c r="U536" s="1">
        <v>2.08</v>
      </c>
      <c r="V536" s="1">
        <v>-6.26</v>
      </c>
      <c r="W536" s="1">
        <v>0.3</v>
      </c>
      <c r="X536" s="1">
        <f t="shared" si="63"/>
        <v>300</v>
      </c>
      <c r="Y536" s="1">
        <v>6.3</v>
      </c>
      <c r="Z536" s="1">
        <v>0.11</v>
      </c>
      <c r="AA536" s="1">
        <v>39.820215695488699</v>
      </c>
      <c r="AC536" s="1">
        <v>35</v>
      </c>
      <c r="AH536" s="1">
        <v>0.71213030239076902</v>
      </c>
      <c r="AJ536" s="1">
        <f>IF(ISNUMBER(AH536),1-AH536,"")</f>
        <v>0.28786969760923098</v>
      </c>
      <c r="AK536" s="1">
        <f>IF(AND(ISNUMBER(AJ536),AJ536&gt;0),LN(AJ536),"")</f>
        <v>-1.2452473400843695</v>
      </c>
      <c r="AM536">
        <v>70</v>
      </c>
      <c r="AN536">
        <f>IF(ISNUMBER(AJ536),IF(AJ536&gt;=0.05,1,0),"")</f>
        <v>1</v>
      </c>
      <c r="AO536">
        <f>IF(ISNUMBER(AJ536),IF(AJ536&lt;0.005,1,0),"")</f>
        <v>0</v>
      </c>
      <c r="AQ536" s="34"/>
      <c r="AR536" s="35"/>
      <c r="AS536" s="36"/>
    </row>
    <row r="537" spans="1:45" ht="57" x14ac:dyDescent="0.45">
      <c r="A537" s="1" t="s">
        <v>91</v>
      </c>
      <c r="B537" s="1" t="s">
        <v>86</v>
      </c>
      <c r="C537" s="1">
        <v>182</v>
      </c>
      <c r="D537" s="1">
        <v>444.44</v>
      </c>
      <c r="E537" s="1">
        <v>-1.3</v>
      </c>
      <c r="F537" s="1">
        <v>3.5</v>
      </c>
      <c r="G537" s="1">
        <v>3.6</v>
      </c>
      <c r="H537" s="1">
        <v>1.35</v>
      </c>
      <c r="I537" s="1">
        <v>3.29</v>
      </c>
      <c r="J537" s="1">
        <v>3.0992000000000002</v>
      </c>
      <c r="K537" s="1" t="s">
        <v>83</v>
      </c>
      <c r="N537" s="1">
        <v>13.98</v>
      </c>
      <c r="O537" s="1">
        <v>2.1000000000000001E-2</v>
      </c>
      <c r="P537" s="1">
        <v>7.45</v>
      </c>
      <c r="Q537" s="1">
        <v>40</v>
      </c>
      <c r="R537" s="1" t="s">
        <v>82</v>
      </c>
      <c r="S537" s="1">
        <v>238.11</v>
      </c>
      <c r="T537" s="1">
        <v>92</v>
      </c>
      <c r="U537" s="1">
        <v>2.08</v>
      </c>
      <c r="V537" s="1">
        <v>-6.26</v>
      </c>
      <c r="W537" s="1">
        <v>0.3</v>
      </c>
      <c r="X537" s="1">
        <f t="shared" si="63"/>
        <v>300</v>
      </c>
      <c r="Y537" s="1">
        <v>6.3</v>
      </c>
      <c r="Z537" s="1">
        <v>0.11</v>
      </c>
      <c r="AA537" s="1">
        <v>59.0312683270676</v>
      </c>
      <c r="AC537" s="1">
        <v>35</v>
      </c>
      <c r="AH537" s="1">
        <v>0.73709989194300807</v>
      </c>
      <c r="AJ537" s="1">
        <f>IF(ISNUMBER(AH537),1-AH537,"")</f>
        <v>0.26290010805699193</v>
      </c>
      <c r="AK537" s="1">
        <f>IF(AND(ISNUMBER(AJ537),AJ537&gt;0),LN(AJ537),"")</f>
        <v>-1.3359811362270178</v>
      </c>
      <c r="AM537">
        <v>70</v>
      </c>
      <c r="AN537">
        <f>IF(ISNUMBER(AJ537),IF(AJ537&gt;=0.05,1,0),"")</f>
        <v>1</v>
      </c>
      <c r="AO537">
        <f>IF(ISNUMBER(AJ537),IF(AJ537&lt;0.005,1,0),"")</f>
        <v>0</v>
      </c>
      <c r="AQ537" s="34"/>
      <c r="AR537" s="35"/>
      <c r="AS537" s="36"/>
    </row>
    <row r="538" spans="1:45" ht="57" x14ac:dyDescent="0.45">
      <c r="A538" s="1" t="s">
        <v>91</v>
      </c>
      <c r="B538" s="1" t="s">
        <v>86</v>
      </c>
      <c r="C538" s="1">
        <v>182</v>
      </c>
      <c r="D538" s="1">
        <v>444.44</v>
      </c>
      <c r="E538" s="1">
        <v>-1.3</v>
      </c>
      <c r="F538" s="1">
        <v>3.5</v>
      </c>
      <c r="G538" s="1">
        <v>3.6</v>
      </c>
      <c r="H538" s="1">
        <v>1.35</v>
      </c>
      <c r="I538" s="1">
        <v>3.29</v>
      </c>
      <c r="J538" s="1">
        <v>3.0992000000000002</v>
      </c>
      <c r="K538" s="1" t="s">
        <v>83</v>
      </c>
      <c r="N538" s="1">
        <v>13.98</v>
      </c>
      <c r="O538" s="1">
        <v>2.1000000000000001E-2</v>
      </c>
      <c r="P538" s="1">
        <v>7.45</v>
      </c>
      <c r="Q538" s="1">
        <v>40</v>
      </c>
      <c r="R538" s="1" t="s">
        <v>82</v>
      </c>
      <c r="S538" s="1">
        <v>238.11</v>
      </c>
      <c r="T538" s="1">
        <v>92</v>
      </c>
      <c r="U538" s="1">
        <v>2.08</v>
      </c>
      <c r="V538" s="1">
        <v>-6.26</v>
      </c>
      <c r="W538" s="1">
        <v>0.3</v>
      </c>
      <c r="X538" s="1">
        <f t="shared" si="63"/>
        <v>300</v>
      </c>
      <c r="Y538" s="1">
        <v>6.3</v>
      </c>
      <c r="Z538" s="1">
        <v>0.11</v>
      </c>
      <c r="AA538" s="1">
        <v>79.157132988721798</v>
      </c>
      <c r="AC538" s="1">
        <v>35</v>
      </c>
      <c r="AH538" s="1">
        <v>0.75525959343554505</v>
      </c>
      <c r="AJ538" s="1">
        <f>IF(ISNUMBER(AH538),1-AH538,"")</f>
        <v>0.24474040656445495</v>
      </c>
      <c r="AK538" s="1">
        <f>IF(AND(ISNUMBER(AJ538),AJ538&gt;0),LN(AJ538),"")</f>
        <v>-1.4075571952163235</v>
      </c>
      <c r="AM538">
        <v>70</v>
      </c>
      <c r="AN538">
        <f>IF(ISNUMBER(AJ538),IF(AJ538&gt;=0.05,1,0),"")</f>
        <v>1</v>
      </c>
      <c r="AO538">
        <f>IF(ISNUMBER(AJ538),IF(AJ538&lt;0.005,1,0),"")</f>
        <v>0</v>
      </c>
      <c r="AQ538" s="34"/>
      <c r="AR538" s="35"/>
      <c r="AS538" s="36"/>
    </row>
    <row r="539" spans="1:45" ht="57" x14ac:dyDescent="0.45">
      <c r="A539" s="1" t="s">
        <v>91</v>
      </c>
      <c r="B539" s="1" t="s">
        <v>86</v>
      </c>
      <c r="C539" s="1">
        <v>182</v>
      </c>
      <c r="D539" s="1">
        <v>444.44</v>
      </c>
      <c r="E539" s="1">
        <v>-1.3</v>
      </c>
      <c r="F539" s="1">
        <v>3.5</v>
      </c>
      <c r="G539" s="1">
        <v>3.6</v>
      </c>
      <c r="H539" s="1">
        <v>1.35</v>
      </c>
      <c r="I539" s="1">
        <v>3.29</v>
      </c>
      <c r="J539" s="1">
        <v>3.0992000000000002</v>
      </c>
      <c r="K539" s="1" t="s">
        <v>83</v>
      </c>
      <c r="N539" s="1">
        <v>13.98</v>
      </c>
      <c r="O539" s="1">
        <v>2.1000000000000001E-2</v>
      </c>
      <c r="P539" s="1">
        <v>7.45</v>
      </c>
      <c r="Q539" s="1">
        <v>40</v>
      </c>
      <c r="R539" s="1" t="s">
        <v>82</v>
      </c>
      <c r="S539" s="1">
        <v>238.11</v>
      </c>
      <c r="T539" s="1">
        <v>92</v>
      </c>
      <c r="U539" s="1">
        <v>2.08</v>
      </c>
      <c r="V539" s="1">
        <v>-6.26</v>
      </c>
      <c r="W539" s="1">
        <v>0.3</v>
      </c>
      <c r="X539" s="1">
        <f t="shared" si="63"/>
        <v>300</v>
      </c>
      <c r="Y539" s="1">
        <v>6.3</v>
      </c>
      <c r="Z539" s="1">
        <v>0.11</v>
      </c>
      <c r="AA539" s="1">
        <v>99.511700657894593</v>
      </c>
      <c r="AC539" s="1">
        <v>35</v>
      </c>
      <c r="AH539" s="1">
        <v>0.76660940686837997</v>
      </c>
      <c r="AJ539" s="1">
        <f>IF(ISNUMBER(AH539),1-AH539,"")</f>
        <v>0.23339059313162003</v>
      </c>
      <c r="AK539" s="1">
        <f>IF(AND(ISNUMBER(AJ539),AJ539&gt;0),LN(AJ539),"")</f>
        <v>-1.4550418635767703</v>
      </c>
      <c r="AM539">
        <v>70</v>
      </c>
      <c r="AN539">
        <f>IF(ISNUMBER(AJ539),IF(AJ539&gt;=0.05,1,0),"")</f>
        <v>1</v>
      </c>
      <c r="AO539">
        <f>IF(ISNUMBER(AJ539),IF(AJ539&lt;0.005,1,0),"")</f>
        <v>0</v>
      </c>
      <c r="AQ539" s="34"/>
      <c r="AR539" s="35"/>
      <c r="AS539" s="36"/>
    </row>
    <row r="540" spans="1:45" ht="57" x14ac:dyDescent="0.45">
      <c r="A540" s="1" t="s">
        <v>91</v>
      </c>
      <c r="B540" s="1" t="s">
        <v>86</v>
      </c>
      <c r="C540" s="1">
        <v>182</v>
      </c>
      <c r="D540" s="1">
        <v>444.44</v>
      </c>
      <c r="E540" s="1">
        <v>-1.3</v>
      </c>
      <c r="F540" s="1">
        <v>3.5</v>
      </c>
      <c r="G540" s="1">
        <v>3.6</v>
      </c>
      <c r="H540" s="1">
        <v>1.35</v>
      </c>
      <c r="I540" s="1">
        <v>3.29</v>
      </c>
      <c r="J540" s="1">
        <v>3.0992000000000002</v>
      </c>
      <c r="K540" s="1" t="s">
        <v>83</v>
      </c>
      <c r="N540" s="1">
        <v>13.98</v>
      </c>
      <c r="O540" s="1">
        <v>2.1000000000000001E-2</v>
      </c>
      <c r="P540" s="1">
        <v>7.45</v>
      </c>
      <c r="Q540" s="1">
        <v>40</v>
      </c>
      <c r="R540" s="1" t="s">
        <v>82</v>
      </c>
      <c r="S540" s="1">
        <v>238.11</v>
      </c>
      <c r="T540" s="1">
        <v>92</v>
      </c>
      <c r="U540" s="1">
        <v>2.08</v>
      </c>
      <c r="V540" s="1">
        <v>-6.26</v>
      </c>
      <c r="W540" s="1">
        <v>0.3</v>
      </c>
      <c r="X540" s="1">
        <f t="shared" si="63"/>
        <v>300</v>
      </c>
      <c r="Y540" s="1">
        <v>6.3</v>
      </c>
      <c r="Z540" s="1">
        <v>0.11</v>
      </c>
      <c r="AA540" s="1">
        <v>118.722753289473</v>
      </c>
      <c r="AC540" s="1">
        <v>35</v>
      </c>
      <c r="AH540" s="1">
        <v>0.78022918298778299</v>
      </c>
      <c r="AJ540" s="1">
        <f>IF(ISNUMBER(AH540),1-AH540,"")</f>
        <v>0.21977081701221701</v>
      </c>
      <c r="AK540" s="1">
        <f>IF(AND(ISNUMBER(AJ540),AJ540&gt;0),LN(AJ540),"")</f>
        <v>-1.5151700164724728</v>
      </c>
      <c r="AM540">
        <v>70</v>
      </c>
      <c r="AN540">
        <f>IF(ISNUMBER(AJ540),IF(AJ540&gt;=0.05,1,0),"")</f>
        <v>1</v>
      </c>
      <c r="AO540">
        <f>IF(ISNUMBER(AJ540),IF(AJ540&lt;0.005,1,0),"")</f>
        <v>0</v>
      </c>
      <c r="AQ540" s="34"/>
      <c r="AR540" s="35"/>
      <c r="AS540" s="36"/>
    </row>
    <row r="541" spans="1:45" ht="57" x14ac:dyDescent="0.45">
      <c r="A541" s="1" t="s">
        <v>91</v>
      </c>
      <c r="B541" s="1" t="s">
        <v>86</v>
      </c>
      <c r="C541" s="1">
        <v>182</v>
      </c>
      <c r="D541" s="1">
        <v>444.44</v>
      </c>
      <c r="E541" s="1">
        <v>-1.3</v>
      </c>
      <c r="F541" s="1">
        <v>3.5</v>
      </c>
      <c r="G541" s="1">
        <v>3.6</v>
      </c>
      <c r="H541" s="1">
        <v>1.35</v>
      </c>
      <c r="I541" s="1">
        <v>3.29</v>
      </c>
      <c r="J541" s="1">
        <v>3.0992000000000002</v>
      </c>
      <c r="K541" s="1" t="s">
        <v>83</v>
      </c>
      <c r="N541" s="1">
        <v>13.98</v>
      </c>
      <c r="O541" s="1">
        <v>2.1000000000000001E-2</v>
      </c>
      <c r="P541" s="1">
        <v>7.45</v>
      </c>
      <c r="Q541" s="1">
        <v>40</v>
      </c>
      <c r="R541" s="1" t="s">
        <v>82</v>
      </c>
      <c r="S541" s="1">
        <v>238.11</v>
      </c>
      <c r="T541" s="1">
        <v>92</v>
      </c>
      <c r="U541" s="1">
        <v>2.08</v>
      </c>
      <c r="V541" s="1">
        <v>-6.26</v>
      </c>
      <c r="W541" s="1">
        <v>0.3</v>
      </c>
      <c r="X541" s="1">
        <f t="shared" si="63"/>
        <v>300</v>
      </c>
      <c r="Y541" s="1">
        <v>6.3</v>
      </c>
      <c r="Z541" s="1">
        <v>0.11</v>
      </c>
      <c r="AA541" s="1">
        <v>0.254595394736852</v>
      </c>
      <c r="AC541" s="1">
        <v>45</v>
      </c>
      <c r="AH541" s="1">
        <v>3.5681421793754997E-2</v>
      </c>
      <c r="AI541" s="1">
        <v>1.6625765977713931E-2</v>
      </c>
      <c r="AJ541" s="1">
        <f>IF(ISNUMBER(AH541),1-AH541,"")</f>
        <v>0.964318578206245</v>
      </c>
      <c r="AK541" s="1">
        <f>IF(AND(ISNUMBER(AJ541),AJ541&gt;0),LN(AJ541),"")</f>
        <v>-3.6333563648849841E-2</v>
      </c>
      <c r="AM541">
        <v>71</v>
      </c>
      <c r="AN541">
        <f>IF(ISNUMBER(AJ541),IF(AJ541&gt;=0.05,1,0),"")</f>
        <v>1</v>
      </c>
      <c r="AO541">
        <f>IF(ISNUMBER(AJ541),IF(AJ541&lt;0.005,1,0),"")</f>
        <v>0</v>
      </c>
      <c r="AP541">
        <f>IFERROR(MATCH(0,AN541:AN548,0)-1,8)</f>
        <v>8</v>
      </c>
      <c r="AQ541" s="34">
        <f>IF(AP541&lt;3,"n&lt;3",IFERROR(-SLOPE(AK541:INDEX(AK541:AK548,AP541),AA541:INDEX(AA541:AA548,AP541)),"no fit"))</f>
        <v>1.2209656731463871E-2</v>
      </c>
      <c r="AR541" s="35">
        <f>IF(AP541&lt;3,"",IFERROR(RSQ(AK541:INDEX(AK541:AK548,AP541),AA541:INDEX(AA541:AA548,AP541)),"flat"))</f>
        <v>0.70866014984609083</v>
      </c>
      <c r="AS541" s="36">
        <f>IFERROR(AQ541/AI541,"")</f>
        <v>0.73438160670794661</v>
      </c>
    </row>
    <row r="542" spans="1:45" ht="57" x14ac:dyDescent="0.45">
      <c r="A542" s="1" t="s">
        <v>91</v>
      </c>
      <c r="B542" s="1" t="s">
        <v>86</v>
      </c>
      <c r="C542" s="1">
        <v>182</v>
      </c>
      <c r="D542" s="1">
        <v>444.44</v>
      </c>
      <c r="E542" s="1">
        <v>-1.3</v>
      </c>
      <c r="F542" s="1">
        <v>3.5</v>
      </c>
      <c r="G542" s="1">
        <v>3.6</v>
      </c>
      <c r="H542" s="1">
        <v>1.35</v>
      </c>
      <c r="I542" s="1">
        <v>3.29</v>
      </c>
      <c r="J542" s="1">
        <v>3.0992000000000002</v>
      </c>
      <c r="K542" s="1" t="s">
        <v>83</v>
      </c>
      <c r="N542" s="1">
        <v>13.98</v>
      </c>
      <c r="O542" s="1">
        <v>2.1000000000000001E-2</v>
      </c>
      <c r="P542" s="1">
        <v>7.45</v>
      </c>
      <c r="Q542" s="1">
        <v>40</v>
      </c>
      <c r="R542" s="1" t="s">
        <v>82</v>
      </c>
      <c r="S542" s="1">
        <v>238.11</v>
      </c>
      <c r="T542" s="1">
        <v>92</v>
      </c>
      <c r="U542" s="1">
        <v>2.08</v>
      </c>
      <c r="V542" s="1">
        <v>-6.26</v>
      </c>
      <c r="W542" s="1">
        <v>0.3</v>
      </c>
      <c r="X542" s="1">
        <f t="shared" si="63"/>
        <v>300</v>
      </c>
      <c r="Y542" s="1">
        <v>6.3</v>
      </c>
      <c r="Z542" s="1">
        <v>0.11</v>
      </c>
      <c r="AA542" s="1">
        <v>10.5462307330827</v>
      </c>
      <c r="AC542" s="1">
        <v>45</v>
      </c>
      <c r="AH542" s="1">
        <v>0.66219112328629093</v>
      </c>
      <c r="AJ542" s="1">
        <f>IF(ISNUMBER(AH542),1-AH542,"")</f>
        <v>0.33780887671370907</v>
      </c>
      <c r="AK542" s="1">
        <f>IF(AND(ISNUMBER(AJ542),AJ542&gt;0),LN(AJ542),"")</f>
        <v>-1.0852749969379818</v>
      </c>
      <c r="AM542">
        <v>71</v>
      </c>
      <c r="AN542">
        <f>IF(ISNUMBER(AJ542),IF(AJ542&gt;=0.05,1,0),"")</f>
        <v>1</v>
      </c>
      <c r="AO542">
        <f>IF(ISNUMBER(AJ542),IF(AJ542&lt;0.005,1,0),"")</f>
        <v>0</v>
      </c>
      <c r="AQ542" s="34"/>
      <c r="AR542" s="35"/>
      <c r="AS542" s="36"/>
    </row>
    <row r="543" spans="1:45" ht="57" x14ac:dyDescent="0.45">
      <c r="A543" s="1" t="s">
        <v>91</v>
      </c>
      <c r="B543" s="1" t="s">
        <v>86</v>
      </c>
      <c r="C543" s="1">
        <v>182</v>
      </c>
      <c r="D543" s="1">
        <v>444.44</v>
      </c>
      <c r="E543" s="1">
        <v>-1.3</v>
      </c>
      <c r="F543" s="1">
        <v>3.5</v>
      </c>
      <c r="G543" s="1">
        <v>3.6</v>
      </c>
      <c r="H543" s="1">
        <v>1.35</v>
      </c>
      <c r="I543" s="1">
        <v>3.29</v>
      </c>
      <c r="J543" s="1">
        <v>3.0992000000000002</v>
      </c>
      <c r="K543" s="1" t="s">
        <v>83</v>
      </c>
      <c r="N543" s="1">
        <v>13.98</v>
      </c>
      <c r="O543" s="1">
        <v>2.1000000000000001E-2</v>
      </c>
      <c r="P543" s="1">
        <v>7.45</v>
      </c>
      <c r="Q543" s="1">
        <v>40</v>
      </c>
      <c r="R543" s="1" t="s">
        <v>82</v>
      </c>
      <c r="S543" s="1">
        <v>238.11</v>
      </c>
      <c r="T543" s="1">
        <v>92</v>
      </c>
      <c r="U543" s="1">
        <v>2.08</v>
      </c>
      <c r="V543" s="1">
        <v>-6.26</v>
      </c>
      <c r="W543" s="1">
        <v>0.3</v>
      </c>
      <c r="X543" s="1">
        <f t="shared" si="63"/>
        <v>300</v>
      </c>
      <c r="Y543" s="1">
        <v>6.3</v>
      </c>
      <c r="Z543" s="1">
        <v>0.11</v>
      </c>
      <c r="AA543" s="1">
        <v>20.380460056390898</v>
      </c>
      <c r="AC543" s="1">
        <v>45</v>
      </c>
      <c r="AH543" s="1">
        <v>0.730290003883306</v>
      </c>
      <c r="AJ543" s="1">
        <f>IF(ISNUMBER(AH543),1-AH543,"")</f>
        <v>0.269709996116694</v>
      </c>
      <c r="AK543" s="1">
        <f>IF(AND(ISNUMBER(AJ543),AJ543&gt;0),LN(AJ543),"")</f>
        <v>-1.3104079856868371</v>
      </c>
      <c r="AM543">
        <v>71</v>
      </c>
      <c r="AN543">
        <f>IF(ISNUMBER(AJ543),IF(AJ543&gt;=0.05,1,0),"")</f>
        <v>1</v>
      </c>
      <c r="AO543">
        <f>IF(ISNUMBER(AJ543),IF(AJ543&lt;0.005,1,0),"")</f>
        <v>0</v>
      </c>
      <c r="AQ543" s="34"/>
      <c r="AR543" s="35"/>
      <c r="AS543" s="36"/>
    </row>
    <row r="544" spans="1:45" ht="57" x14ac:dyDescent="0.45">
      <c r="A544" s="1" t="s">
        <v>91</v>
      </c>
      <c r="B544" s="1" t="s">
        <v>86</v>
      </c>
      <c r="C544" s="1">
        <v>182</v>
      </c>
      <c r="D544" s="1">
        <v>444.44</v>
      </c>
      <c r="E544" s="1">
        <v>-1.3</v>
      </c>
      <c r="F544" s="1">
        <v>3.5</v>
      </c>
      <c r="G544" s="1">
        <v>3.6</v>
      </c>
      <c r="H544" s="1">
        <v>1.35</v>
      </c>
      <c r="I544" s="1">
        <v>3.29</v>
      </c>
      <c r="J544" s="1">
        <v>3.0992000000000002</v>
      </c>
      <c r="K544" s="1" t="s">
        <v>83</v>
      </c>
      <c r="N544" s="1">
        <v>13.98</v>
      </c>
      <c r="O544" s="1">
        <v>2.1000000000000001E-2</v>
      </c>
      <c r="P544" s="1">
        <v>7.45</v>
      </c>
      <c r="Q544" s="1">
        <v>40</v>
      </c>
      <c r="R544" s="1" t="s">
        <v>82</v>
      </c>
      <c r="S544" s="1">
        <v>238.11</v>
      </c>
      <c r="T544" s="1">
        <v>92</v>
      </c>
      <c r="U544" s="1">
        <v>2.08</v>
      </c>
      <c r="V544" s="1">
        <v>-6.26</v>
      </c>
      <c r="W544" s="1">
        <v>0.3</v>
      </c>
      <c r="X544" s="1">
        <f t="shared" si="63"/>
        <v>300</v>
      </c>
      <c r="Y544" s="1">
        <v>6.3</v>
      </c>
      <c r="Z544" s="1">
        <v>0.11</v>
      </c>
      <c r="AA544" s="1">
        <v>39.820215695488699</v>
      </c>
      <c r="AC544" s="1">
        <v>45</v>
      </c>
      <c r="AH544" s="1">
        <v>0.77114933224151505</v>
      </c>
      <c r="AJ544" s="1">
        <f>IF(ISNUMBER(AH544),1-AH544,"")</f>
        <v>0.22885066775848495</v>
      </c>
      <c r="AK544" s="1">
        <f>IF(AND(ISNUMBER(AJ544),AJ544&gt;0),LN(AJ544),"")</f>
        <v>-1.4746855939995465</v>
      </c>
      <c r="AM544">
        <v>71</v>
      </c>
      <c r="AN544">
        <f>IF(ISNUMBER(AJ544),IF(AJ544&gt;=0.05,1,0),"")</f>
        <v>1</v>
      </c>
      <c r="AO544">
        <f>IF(ISNUMBER(AJ544),IF(AJ544&lt;0.005,1,0),"")</f>
        <v>0</v>
      </c>
      <c r="AQ544" s="34"/>
      <c r="AR544" s="35"/>
      <c r="AS544" s="36"/>
    </row>
    <row r="545" spans="1:45" ht="57" x14ac:dyDescent="0.45">
      <c r="A545" s="1" t="s">
        <v>91</v>
      </c>
      <c r="B545" s="1" t="s">
        <v>86</v>
      </c>
      <c r="C545" s="1">
        <v>182</v>
      </c>
      <c r="D545" s="1">
        <v>444.44</v>
      </c>
      <c r="E545" s="1">
        <v>-1.3</v>
      </c>
      <c r="F545" s="1">
        <v>3.5</v>
      </c>
      <c r="G545" s="1">
        <v>3.6</v>
      </c>
      <c r="H545" s="1">
        <v>1.35</v>
      </c>
      <c r="I545" s="1">
        <v>3.29</v>
      </c>
      <c r="J545" s="1">
        <v>3.0992000000000002</v>
      </c>
      <c r="K545" s="1" t="s">
        <v>83</v>
      </c>
      <c r="N545" s="1">
        <v>13.98</v>
      </c>
      <c r="O545" s="1">
        <v>2.1000000000000001E-2</v>
      </c>
      <c r="P545" s="1">
        <v>7.45</v>
      </c>
      <c r="Q545" s="1">
        <v>40</v>
      </c>
      <c r="R545" s="1" t="s">
        <v>82</v>
      </c>
      <c r="S545" s="1">
        <v>238.11</v>
      </c>
      <c r="T545" s="1">
        <v>92</v>
      </c>
      <c r="U545" s="1">
        <v>2.08</v>
      </c>
      <c r="V545" s="1">
        <v>-6.26</v>
      </c>
      <c r="W545" s="1">
        <v>0.3</v>
      </c>
      <c r="X545" s="1">
        <f t="shared" si="63"/>
        <v>300</v>
      </c>
      <c r="Y545" s="1">
        <v>6.3</v>
      </c>
      <c r="Z545" s="1">
        <v>0.11</v>
      </c>
      <c r="AA545" s="1">
        <v>59.488674342105199</v>
      </c>
      <c r="AC545" s="1">
        <v>45</v>
      </c>
      <c r="AH545" s="1">
        <v>0.81200866059972399</v>
      </c>
      <c r="AJ545" s="1">
        <f>IF(ISNUMBER(AH545),1-AH545,"")</f>
        <v>0.18799133940027601</v>
      </c>
      <c r="AK545" s="1">
        <f>IF(AND(ISNUMBER(AJ545),AJ545&gt;0),LN(AJ545),"")</f>
        <v>-1.671359384233114</v>
      </c>
      <c r="AM545">
        <v>71</v>
      </c>
      <c r="AN545">
        <f>IF(ISNUMBER(AJ545),IF(AJ545&gt;=0.05,1,0),"")</f>
        <v>1</v>
      </c>
      <c r="AO545">
        <f>IF(ISNUMBER(AJ545),IF(AJ545&lt;0.005,1,0),"")</f>
        <v>0</v>
      </c>
      <c r="AQ545" s="34"/>
      <c r="AR545" s="35"/>
      <c r="AS545" s="36"/>
    </row>
    <row r="546" spans="1:45" ht="57" x14ac:dyDescent="0.45">
      <c r="A546" s="1" t="s">
        <v>91</v>
      </c>
      <c r="B546" s="1" t="s">
        <v>86</v>
      </c>
      <c r="C546" s="1">
        <v>182</v>
      </c>
      <c r="D546" s="1">
        <v>444.44</v>
      </c>
      <c r="E546" s="1">
        <v>-1.3</v>
      </c>
      <c r="F546" s="1">
        <v>3.5</v>
      </c>
      <c r="G546" s="1">
        <v>3.6</v>
      </c>
      <c r="H546" s="1">
        <v>1.35</v>
      </c>
      <c r="I546" s="1">
        <v>3.29</v>
      </c>
      <c r="J546" s="1">
        <v>3.0992000000000002</v>
      </c>
      <c r="K546" s="1" t="s">
        <v>83</v>
      </c>
      <c r="N546" s="1">
        <v>13.98</v>
      </c>
      <c r="O546" s="1">
        <v>2.1000000000000001E-2</v>
      </c>
      <c r="P546" s="1">
        <v>7.45</v>
      </c>
      <c r="Q546" s="1">
        <v>40</v>
      </c>
      <c r="R546" s="1" t="s">
        <v>82</v>
      </c>
      <c r="S546" s="1">
        <v>238.11</v>
      </c>
      <c r="T546" s="1">
        <v>92</v>
      </c>
      <c r="U546" s="1">
        <v>2.08</v>
      </c>
      <c r="V546" s="1">
        <v>-6.26</v>
      </c>
      <c r="W546" s="1">
        <v>0.3</v>
      </c>
      <c r="X546" s="1">
        <f t="shared" si="63"/>
        <v>300</v>
      </c>
      <c r="Y546" s="1">
        <v>6.3</v>
      </c>
      <c r="Z546" s="1">
        <v>0.11</v>
      </c>
      <c r="AA546" s="1">
        <v>79.385835996240601</v>
      </c>
      <c r="AC546" s="1">
        <v>45</v>
      </c>
      <c r="AH546" s="1">
        <v>0.82789839940569399</v>
      </c>
      <c r="AJ546" s="1">
        <f>IF(ISNUMBER(AH546),1-AH546,"")</f>
        <v>0.17210160059430601</v>
      </c>
      <c r="AK546" s="1">
        <f>IF(AND(ISNUMBER(AJ546),AJ546&gt;0),LN(AJ546),"")</f>
        <v>-1.7596702754342366</v>
      </c>
      <c r="AM546">
        <v>71</v>
      </c>
      <c r="AN546">
        <f>IF(ISNUMBER(AJ546),IF(AJ546&gt;=0.05,1,0),"")</f>
        <v>1</v>
      </c>
      <c r="AO546">
        <f>IF(ISNUMBER(AJ546),IF(AJ546&lt;0.005,1,0),"")</f>
        <v>0</v>
      </c>
      <c r="AQ546" s="34"/>
      <c r="AR546" s="35"/>
      <c r="AS546" s="36"/>
    </row>
    <row r="547" spans="1:45" ht="57" x14ac:dyDescent="0.45">
      <c r="A547" s="1" t="s">
        <v>91</v>
      </c>
      <c r="B547" s="1" t="s">
        <v>86</v>
      </c>
      <c r="C547" s="1">
        <v>182</v>
      </c>
      <c r="D547" s="1">
        <v>444.44</v>
      </c>
      <c r="E547" s="1">
        <v>-1.3</v>
      </c>
      <c r="F547" s="1">
        <v>3.5</v>
      </c>
      <c r="G547" s="1">
        <v>3.6</v>
      </c>
      <c r="H547" s="1">
        <v>1.35</v>
      </c>
      <c r="I547" s="1">
        <v>3.29</v>
      </c>
      <c r="J547" s="1">
        <v>3.0992000000000002</v>
      </c>
      <c r="K547" s="1" t="s">
        <v>83</v>
      </c>
      <c r="N547" s="1">
        <v>13.98</v>
      </c>
      <c r="O547" s="1">
        <v>2.1000000000000001E-2</v>
      </c>
      <c r="P547" s="1">
        <v>7.45</v>
      </c>
      <c r="Q547" s="1">
        <v>40</v>
      </c>
      <c r="R547" s="1" t="s">
        <v>82</v>
      </c>
      <c r="S547" s="1">
        <v>238.11</v>
      </c>
      <c r="T547" s="1">
        <v>92</v>
      </c>
      <c r="U547" s="1">
        <v>2.08</v>
      </c>
      <c r="V547" s="1">
        <v>-6.26</v>
      </c>
      <c r="W547" s="1">
        <v>0.3</v>
      </c>
      <c r="X547" s="1">
        <f t="shared" si="63"/>
        <v>300</v>
      </c>
      <c r="Y547" s="1">
        <v>6.3</v>
      </c>
      <c r="Z547" s="1">
        <v>0.11</v>
      </c>
      <c r="AA547" s="1">
        <v>99.054294642857101</v>
      </c>
      <c r="AC547" s="1">
        <v>45</v>
      </c>
      <c r="AH547" s="1">
        <v>0.841518175525097</v>
      </c>
      <c r="AJ547" s="1">
        <f>IF(ISNUMBER(AH547),1-AH547,"")</f>
        <v>0.158481824474903</v>
      </c>
      <c r="AK547" s="1">
        <f>IF(AND(ISNUMBER(AJ547),AJ547&gt;0),LN(AJ547),"")</f>
        <v>-1.8421153643227786</v>
      </c>
      <c r="AM547">
        <v>71</v>
      </c>
      <c r="AN547">
        <f>IF(ISNUMBER(AJ547),IF(AJ547&gt;=0.05,1,0),"")</f>
        <v>1</v>
      </c>
      <c r="AO547">
        <f>IF(ISNUMBER(AJ547),IF(AJ547&lt;0.005,1,0),"")</f>
        <v>0</v>
      </c>
      <c r="AQ547" s="34"/>
      <c r="AR547" s="35"/>
      <c r="AS547" s="36"/>
    </row>
    <row r="548" spans="1:45" ht="57" x14ac:dyDescent="0.45">
      <c r="A548" s="1" t="s">
        <v>91</v>
      </c>
      <c r="B548" s="1" t="s">
        <v>86</v>
      </c>
      <c r="C548" s="1">
        <v>182</v>
      </c>
      <c r="D548" s="1">
        <v>444.44</v>
      </c>
      <c r="E548" s="1">
        <v>-1.3</v>
      </c>
      <c r="F548" s="1">
        <v>3.5</v>
      </c>
      <c r="G548" s="1">
        <v>3.6</v>
      </c>
      <c r="H548" s="1">
        <v>1.35</v>
      </c>
      <c r="I548" s="1">
        <v>3.29</v>
      </c>
      <c r="J548" s="1">
        <v>3.0992000000000002</v>
      </c>
      <c r="K548" s="1" t="s">
        <v>83</v>
      </c>
      <c r="N548" s="1">
        <v>13.98</v>
      </c>
      <c r="O548" s="1">
        <v>2.1000000000000001E-2</v>
      </c>
      <c r="P548" s="1">
        <v>7.45</v>
      </c>
      <c r="Q548" s="1">
        <v>40</v>
      </c>
      <c r="R548" s="1" t="s">
        <v>82</v>
      </c>
      <c r="S548" s="1">
        <v>238.11</v>
      </c>
      <c r="T548" s="1">
        <v>92</v>
      </c>
      <c r="U548" s="1">
        <v>2.08</v>
      </c>
      <c r="V548" s="1">
        <v>-6.26</v>
      </c>
      <c r="W548" s="1">
        <v>0.3</v>
      </c>
      <c r="X548" s="1">
        <f t="shared" si="63"/>
        <v>300</v>
      </c>
      <c r="Y548" s="1">
        <v>6.3</v>
      </c>
      <c r="Z548" s="1">
        <v>0.11</v>
      </c>
      <c r="AA548" s="1">
        <v>119.18015930451099</v>
      </c>
      <c r="AC548" s="1">
        <v>45</v>
      </c>
      <c r="AH548" s="1">
        <v>0.86648776507733594</v>
      </c>
      <c r="AJ548" s="1">
        <f>IF(ISNUMBER(AH548),1-AH548,"")</f>
        <v>0.13351223492266406</v>
      </c>
      <c r="AK548" s="1">
        <f>IF(AND(ISNUMBER(AJ548),AJ548&gt;0),LN(AJ548),"")</f>
        <v>-2.0135621579804162</v>
      </c>
      <c r="AM548">
        <v>71</v>
      </c>
      <c r="AN548">
        <f>IF(ISNUMBER(AJ548),IF(AJ548&gt;=0.05,1,0),"")</f>
        <v>1</v>
      </c>
      <c r="AO548">
        <f>IF(ISNUMBER(AJ548),IF(AJ548&lt;0.005,1,0),"")</f>
        <v>0</v>
      </c>
      <c r="AQ548" s="34"/>
      <c r="AR548" s="35"/>
      <c r="AS548" s="36"/>
    </row>
    <row r="549" spans="1:45" ht="57" x14ac:dyDescent="0.45">
      <c r="A549" s="1" t="s">
        <v>91</v>
      </c>
      <c r="B549" s="1" t="s">
        <v>86</v>
      </c>
      <c r="C549" s="1">
        <v>182</v>
      </c>
      <c r="D549" s="1">
        <v>444.44</v>
      </c>
      <c r="E549" s="1">
        <v>-1.3</v>
      </c>
      <c r="F549" s="1">
        <v>3.5</v>
      </c>
      <c r="G549" s="1">
        <v>3.6</v>
      </c>
      <c r="H549" s="1">
        <v>1.35</v>
      </c>
      <c r="I549" s="1">
        <v>3.29</v>
      </c>
      <c r="J549" s="1">
        <v>3.0992000000000002</v>
      </c>
      <c r="K549" s="1" t="s">
        <v>83</v>
      </c>
      <c r="N549" s="1">
        <v>13.98</v>
      </c>
      <c r="O549" s="1">
        <v>2.1000000000000001E-2</v>
      </c>
      <c r="P549" s="1">
        <v>7.45</v>
      </c>
      <c r="Q549" s="1">
        <v>40</v>
      </c>
      <c r="R549" s="1" t="s">
        <v>82</v>
      </c>
      <c r="S549" s="1">
        <v>238.11</v>
      </c>
      <c r="T549" s="1">
        <v>92</v>
      </c>
      <c r="U549" s="1">
        <v>2.08</v>
      </c>
      <c r="V549" s="1">
        <v>-6.26</v>
      </c>
      <c r="W549" s="1">
        <v>0.3</v>
      </c>
      <c r="X549" s="1">
        <f t="shared" si="63"/>
        <v>300</v>
      </c>
      <c r="Y549" s="1">
        <v>6.3</v>
      </c>
      <c r="Z549" s="1">
        <v>0.11</v>
      </c>
      <c r="AA549" s="1">
        <v>0.71200140977445403</v>
      </c>
      <c r="AC549" s="1">
        <v>55</v>
      </c>
      <c r="AH549" s="1">
        <v>3.1141496420621029E-2</v>
      </c>
      <c r="AI549" s="1">
        <v>3.1083048803577342E-2</v>
      </c>
      <c r="AJ549" s="1">
        <f>IF(ISNUMBER(AH549),1-AH549,"")</f>
        <v>0.96885850357937897</v>
      </c>
      <c r="AK549" s="1">
        <f>IF(AND(ISNUMBER(AJ549),AJ549&gt;0),LN(AJ549),"")</f>
        <v>-3.1636700891683002E-2</v>
      </c>
      <c r="AM549">
        <v>72</v>
      </c>
      <c r="AN549">
        <f>IF(ISNUMBER(AJ549),IF(AJ549&gt;=0.05,1,0),"")</f>
        <v>1</v>
      </c>
      <c r="AO549">
        <f>IF(ISNUMBER(AJ549),IF(AJ549&lt;0.005,1,0),"")</f>
        <v>0</v>
      </c>
      <c r="AP549">
        <f>IFERROR(MATCH(0,AN549:AN556,0)-1,8)</f>
        <v>6</v>
      </c>
      <c r="AQ549" s="34">
        <f>IF(AP549&lt;3,"n&lt;3",IFERROR(-SLOPE(AK549:INDEX(AK549:AK556,AP549),AA549:INDEX(AA549:AA556,AP549)),"no fit"))</f>
        <v>2.8471222868780701E-2</v>
      </c>
      <c r="AR549" s="35">
        <f>IF(AP549&lt;3,"",IFERROR(RSQ(AK549:INDEX(AK549:AK556,AP549),AA549:INDEX(AA549:AA556,AP549)),"flat"))</f>
        <v>0.84085148284476452</v>
      </c>
      <c r="AS549" s="36">
        <f>IFERROR(AQ549/AI549,"")</f>
        <v>0.91597265920400817</v>
      </c>
    </row>
    <row r="550" spans="1:45" ht="57" x14ac:dyDescent="0.45">
      <c r="A550" s="1" t="s">
        <v>91</v>
      </c>
      <c r="B550" s="1" t="s">
        <v>86</v>
      </c>
      <c r="C550" s="1">
        <v>182</v>
      </c>
      <c r="D550" s="1">
        <v>444.44</v>
      </c>
      <c r="E550" s="1">
        <v>-1.3</v>
      </c>
      <c r="F550" s="1">
        <v>3.5</v>
      </c>
      <c r="G550" s="1">
        <v>3.6</v>
      </c>
      <c r="H550" s="1">
        <v>1.35</v>
      </c>
      <c r="I550" s="1">
        <v>3.29</v>
      </c>
      <c r="J550" s="1">
        <v>3.0992000000000002</v>
      </c>
      <c r="K550" s="1" t="s">
        <v>83</v>
      </c>
      <c r="N550" s="1">
        <v>13.98</v>
      </c>
      <c r="O550" s="1">
        <v>2.1000000000000001E-2</v>
      </c>
      <c r="P550" s="1">
        <v>7.45</v>
      </c>
      <c r="Q550" s="1">
        <v>40</v>
      </c>
      <c r="R550" s="1" t="s">
        <v>82</v>
      </c>
      <c r="S550" s="1">
        <v>238.11</v>
      </c>
      <c r="T550" s="1">
        <v>92</v>
      </c>
      <c r="U550" s="1">
        <v>2.08</v>
      </c>
      <c r="V550" s="1">
        <v>-6.26</v>
      </c>
      <c r="W550" s="1">
        <v>0.3</v>
      </c>
      <c r="X550" s="1">
        <f t="shared" si="63"/>
        <v>300</v>
      </c>
      <c r="Y550" s="1">
        <v>6.3</v>
      </c>
      <c r="Z550" s="1">
        <v>0.11</v>
      </c>
      <c r="AA550" s="1">
        <v>10.0888247180451</v>
      </c>
      <c r="AC550" s="1">
        <v>55</v>
      </c>
      <c r="AH550" s="1">
        <v>0.730290003883306</v>
      </c>
      <c r="AJ550" s="1">
        <f>IF(ISNUMBER(AH550),1-AH550,"")</f>
        <v>0.269709996116694</v>
      </c>
      <c r="AK550" s="1">
        <f>IF(AND(ISNUMBER(AJ550),AJ550&gt;0),LN(AJ550),"")</f>
        <v>-1.3104079856868371</v>
      </c>
      <c r="AM550">
        <v>72</v>
      </c>
      <c r="AN550">
        <f>IF(ISNUMBER(AJ550),IF(AJ550&gt;=0.05,1,0),"")</f>
        <v>1</v>
      </c>
      <c r="AO550">
        <f>IF(ISNUMBER(AJ550),IF(AJ550&lt;0.005,1,0),"")</f>
        <v>0</v>
      </c>
      <c r="AQ550" s="34"/>
      <c r="AR550" s="35"/>
      <c r="AS550" s="36"/>
    </row>
    <row r="551" spans="1:45" ht="57" x14ac:dyDescent="0.45">
      <c r="A551" s="1" t="s">
        <v>91</v>
      </c>
      <c r="B551" s="1" t="s">
        <v>86</v>
      </c>
      <c r="C551" s="1">
        <v>182</v>
      </c>
      <c r="D551" s="1">
        <v>444.44</v>
      </c>
      <c r="E551" s="1">
        <v>-1.3</v>
      </c>
      <c r="F551" s="1">
        <v>3.5</v>
      </c>
      <c r="G551" s="1">
        <v>3.6</v>
      </c>
      <c r="H551" s="1">
        <v>1.35</v>
      </c>
      <c r="I551" s="1">
        <v>3.29</v>
      </c>
      <c r="J551" s="1">
        <v>3.0992000000000002</v>
      </c>
      <c r="K551" s="1" t="s">
        <v>83</v>
      </c>
      <c r="N551" s="1">
        <v>13.98</v>
      </c>
      <c r="O551" s="1">
        <v>2.1000000000000001E-2</v>
      </c>
      <c r="P551" s="1">
        <v>7.45</v>
      </c>
      <c r="Q551" s="1">
        <v>40</v>
      </c>
      <c r="R551" s="1" t="s">
        <v>82</v>
      </c>
      <c r="S551" s="1">
        <v>238.11</v>
      </c>
      <c r="T551" s="1">
        <v>92</v>
      </c>
      <c r="U551" s="1">
        <v>2.08</v>
      </c>
      <c r="V551" s="1">
        <v>-6.26</v>
      </c>
      <c r="W551" s="1">
        <v>0.3</v>
      </c>
      <c r="X551" s="1">
        <f t="shared" si="63"/>
        <v>300</v>
      </c>
      <c r="Y551" s="1">
        <v>6.3</v>
      </c>
      <c r="Z551" s="1">
        <v>0.11</v>
      </c>
      <c r="AA551" s="1">
        <v>19.9230540413533</v>
      </c>
      <c r="AC551" s="1">
        <v>55</v>
      </c>
      <c r="AH551" s="1">
        <v>0.78703907104748505</v>
      </c>
      <c r="AJ551" s="1">
        <f>IF(ISNUMBER(AH551),1-AH551,"")</f>
        <v>0.21296092895251495</v>
      </c>
      <c r="AK551" s="1">
        <f>IF(AND(ISNUMBER(AJ551),AJ551&gt;0),LN(AJ551),"")</f>
        <v>-1.5466465622462631</v>
      </c>
      <c r="AM551">
        <v>72</v>
      </c>
      <c r="AN551">
        <f>IF(ISNUMBER(AJ551),IF(AJ551&gt;=0.05,1,0),"")</f>
        <v>1</v>
      </c>
      <c r="AO551">
        <f>IF(ISNUMBER(AJ551),IF(AJ551&lt;0.005,1,0),"")</f>
        <v>0</v>
      </c>
      <c r="AQ551" s="34"/>
      <c r="AR551" s="35"/>
      <c r="AS551" s="36"/>
    </row>
    <row r="552" spans="1:45" ht="57" x14ac:dyDescent="0.45">
      <c r="A552" s="1" t="s">
        <v>91</v>
      </c>
      <c r="B552" s="1" t="s">
        <v>86</v>
      </c>
      <c r="C552" s="1">
        <v>182</v>
      </c>
      <c r="D552" s="1">
        <v>444.44</v>
      </c>
      <c r="E552" s="1">
        <v>-1.3</v>
      </c>
      <c r="F552" s="1">
        <v>3.5</v>
      </c>
      <c r="G552" s="1">
        <v>3.6</v>
      </c>
      <c r="H552" s="1">
        <v>1.35</v>
      </c>
      <c r="I552" s="1">
        <v>3.29</v>
      </c>
      <c r="J552" s="1">
        <v>3.0992000000000002</v>
      </c>
      <c r="K552" s="1" t="s">
        <v>83</v>
      </c>
      <c r="N552" s="1">
        <v>13.98</v>
      </c>
      <c r="O552" s="1">
        <v>2.1000000000000001E-2</v>
      </c>
      <c r="P552" s="1">
        <v>7.45</v>
      </c>
      <c r="Q552" s="1">
        <v>40</v>
      </c>
      <c r="R552" s="1" t="s">
        <v>82</v>
      </c>
      <c r="S552" s="1">
        <v>238.11</v>
      </c>
      <c r="T552" s="1">
        <v>92</v>
      </c>
      <c r="U552" s="1">
        <v>2.08</v>
      </c>
      <c r="V552" s="1">
        <v>-6.26</v>
      </c>
      <c r="W552" s="1">
        <v>0.3</v>
      </c>
      <c r="X552" s="1">
        <f t="shared" si="63"/>
        <v>300</v>
      </c>
      <c r="Y552" s="1">
        <v>6.3</v>
      </c>
      <c r="Z552" s="1">
        <v>0.11</v>
      </c>
      <c r="AA552" s="1">
        <v>39.591512687969903</v>
      </c>
      <c r="AC552" s="1">
        <v>55</v>
      </c>
      <c r="AH552" s="1">
        <v>0.85286798895793303</v>
      </c>
      <c r="AJ552" s="1">
        <f>IF(ISNUMBER(AH552),1-AH552,"")</f>
        <v>0.14713201104206697</v>
      </c>
      <c r="AK552" s="1">
        <f>IF(AND(ISNUMBER(AJ552),AJ552&gt;0),LN(AJ552),"")</f>
        <v>-1.9164250608951785</v>
      </c>
      <c r="AM552">
        <v>72</v>
      </c>
      <c r="AN552">
        <f>IF(ISNUMBER(AJ552),IF(AJ552&gt;=0.05,1,0),"")</f>
        <v>1</v>
      </c>
      <c r="AO552">
        <f>IF(ISNUMBER(AJ552),IF(AJ552&lt;0.005,1,0),"")</f>
        <v>0</v>
      </c>
      <c r="AQ552" s="34"/>
      <c r="AR552" s="35"/>
      <c r="AS552" s="36"/>
    </row>
    <row r="553" spans="1:45" ht="57" x14ac:dyDescent="0.45">
      <c r="A553" s="1" t="s">
        <v>91</v>
      </c>
      <c r="B553" s="1" t="s">
        <v>86</v>
      </c>
      <c r="C553" s="1">
        <v>182</v>
      </c>
      <c r="D553" s="1">
        <v>444.44</v>
      </c>
      <c r="E553" s="1">
        <v>-1.3</v>
      </c>
      <c r="F553" s="1">
        <v>3.5</v>
      </c>
      <c r="G553" s="1">
        <v>3.6</v>
      </c>
      <c r="H553" s="1">
        <v>1.35</v>
      </c>
      <c r="I553" s="1">
        <v>3.29</v>
      </c>
      <c r="J553" s="1">
        <v>3.0992000000000002</v>
      </c>
      <c r="K553" s="1" t="s">
        <v>83</v>
      </c>
      <c r="N553" s="1">
        <v>13.98</v>
      </c>
      <c r="O553" s="1">
        <v>2.1000000000000001E-2</v>
      </c>
      <c r="P553" s="1">
        <v>7.45</v>
      </c>
      <c r="Q553" s="1">
        <v>40</v>
      </c>
      <c r="R553" s="1" t="s">
        <v>82</v>
      </c>
      <c r="S553" s="1">
        <v>238.11</v>
      </c>
      <c r="T553" s="1">
        <v>92</v>
      </c>
      <c r="U553" s="1">
        <v>2.08</v>
      </c>
      <c r="V553" s="1">
        <v>-6.26</v>
      </c>
      <c r="W553" s="1">
        <v>0.3</v>
      </c>
      <c r="X553" s="1">
        <f t="shared" si="63"/>
        <v>300</v>
      </c>
      <c r="Y553" s="1">
        <v>6.3</v>
      </c>
      <c r="Z553" s="1">
        <v>0.11</v>
      </c>
      <c r="AA553" s="1">
        <v>59.717377349624002</v>
      </c>
      <c r="AC553" s="1">
        <v>55</v>
      </c>
      <c r="AH553" s="1">
        <v>0.90280716806240946</v>
      </c>
      <c r="AJ553" s="1">
        <f>IF(ISNUMBER(AH553),1-AH553,"")</f>
        <v>9.719283193759054E-2</v>
      </c>
      <c r="AK553" s="1">
        <f>IF(AND(ISNUMBER(AJ553),AJ553&gt;0),LN(AJ553),"")</f>
        <v>-2.3310583157331162</v>
      </c>
      <c r="AM553">
        <v>72</v>
      </c>
      <c r="AN553">
        <f>IF(ISNUMBER(AJ553),IF(AJ553&gt;=0.05,1,0),"")</f>
        <v>1</v>
      </c>
      <c r="AO553">
        <f>IF(ISNUMBER(AJ553),IF(AJ553&lt;0.005,1,0),"")</f>
        <v>0</v>
      </c>
      <c r="AQ553" s="34"/>
      <c r="AR553" s="35"/>
      <c r="AS553" s="36"/>
    </row>
    <row r="554" spans="1:45" ht="57" x14ac:dyDescent="0.45">
      <c r="A554" s="1" t="s">
        <v>91</v>
      </c>
      <c r="B554" s="1" t="s">
        <v>86</v>
      </c>
      <c r="C554" s="1">
        <v>182</v>
      </c>
      <c r="D554" s="1">
        <v>444.44</v>
      </c>
      <c r="E554" s="1">
        <v>-1.3</v>
      </c>
      <c r="F554" s="1">
        <v>3.5</v>
      </c>
      <c r="G554" s="1">
        <v>3.6</v>
      </c>
      <c r="H554" s="1">
        <v>1.35</v>
      </c>
      <c r="I554" s="1">
        <v>3.29</v>
      </c>
      <c r="J554" s="1">
        <v>3.0992000000000002</v>
      </c>
      <c r="K554" s="1" t="s">
        <v>83</v>
      </c>
      <c r="N554" s="1">
        <v>13.98</v>
      </c>
      <c r="O554" s="1">
        <v>2.1000000000000001E-2</v>
      </c>
      <c r="P554" s="1">
        <v>7.45</v>
      </c>
      <c r="Q554" s="1">
        <v>40</v>
      </c>
      <c r="R554" s="1" t="s">
        <v>82</v>
      </c>
      <c r="S554" s="1">
        <v>238.11</v>
      </c>
      <c r="T554" s="1">
        <v>92</v>
      </c>
      <c r="U554" s="1">
        <v>2.08</v>
      </c>
      <c r="V554" s="1">
        <v>-6.26</v>
      </c>
      <c r="W554" s="1">
        <v>0.3</v>
      </c>
      <c r="X554" s="1">
        <f t="shared" si="63"/>
        <v>300</v>
      </c>
      <c r="Y554" s="1">
        <v>6.3</v>
      </c>
      <c r="Z554" s="1">
        <v>0.11</v>
      </c>
      <c r="AA554" s="1">
        <v>79.157132988721798</v>
      </c>
      <c r="AC554" s="1">
        <v>55</v>
      </c>
      <c r="AH554" s="1">
        <v>0.93458664567435024</v>
      </c>
      <c r="AJ554" s="1">
        <f>IF(ISNUMBER(AH554),1-AH554,"")</f>
        <v>6.5413354325649764E-2</v>
      </c>
      <c r="AK554" s="1">
        <f>IF(AND(ISNUMBER(AJ554),AJ554&gt;0),LN(AJ554),"")</f>
        <v>-2.7270288467820594</v>
      </c>
      <c r="AM554">
        <v>72</v>
      </c>
      <c r="AN554">
        <f>IF(ISNUMBER(AJ554),IF(AJ554&gt;=0.05,1,0),"")</f>
        <v>1</v>
      </c>
      <c r="AO554">
        <f>IF(ISNUMBER(AJ554),IF(AJ554&lt;0.005,1,0),"")</f>
        <v>0</v>
      </c>
      <c r="AQ554" s="34"/>
      <c r="AR554" s="35"/>
      <c r="AS554" s="36"/>
    </row>
    <row r="555" spans="1:45" ht="57" x14ac:dyDescent="0.45">
      <c r="A555" s="1" t="s">
        <v>91</v>
      </c>
      <c r="B555" s="1" t="s">
        <v>86</v>
      </c>
      <c r="C555" s="1">
        <v>182</v>
      </c>
      <c r="D555" s="1">
        <v>444.44</v>
      </c>
      <c r="E555" s="1">
        <v>-1.3</v>
      </c>
      <c r="F555" s="1">
        <v>3.5</v>
      </c>
      <c r="G555" s="1">
        <v>3.6</v>
      </c>
      <c r="H555" s="1">
        <v>1.35</v>
      </c>
      <c r="I555" s="1">
        <v>3.29</v>
      </c>
      <c r="J555" s="1">
        <v>3.0992000000000002</v>
      </c>
      <c r="K555" s="1" t="s">
        <v>83</v>
      </c>
      <c r="N555" s="1">
        <v>13.98</v>
      </c>
      <c r="O555" s="1">
        <v>2.1000000000000001E-2</v>
      </c>
      <c r="P555" s="1">
        <v>7.45</v>
      </c>
      <c r="Q555" s="1">
        <v>40</v>
      </c>
      <c r="R555" s="1" t="s">
        <v>82</v>
      </c>
      <c r="S555" s="1">
        <v>238.11</v>
      </c>
      <c r="T555" s="1">
        <v>92</v>
      </c>
      <c r="U555" s="1">
        <v>2.08</v>
      </c>
      <c r="V555" s="1">
        <v>-6.26</v>
      </c>
      <c r="W555" s="1">
        <v>0.3</v>
      </c>
      <c r="X555" s="1">
        <f t="shared" si="63"/>
        <v>300</v>
      </c>
      <c r="Y555" s="1">
        <v>6.3</v>
      </c>
      <c r="Z555" s="1">
        <v>0.11</v>
      </c>
      <c r="AA555" s="1">
        <v>98.825591635338199</v>
      </c>
      <c r="AC555" s="1">
        <v>55</v>
      </c>
      <c r="AH555" s="1">
        <v>0.96409616059972303</v>
      </c>
      <c r="AJ555" s="1">
        <f>IF(ISNUMBER(AH555),1-AH555,"")</f>
        <v>3.5903839400276971E-2</v>
      </c>
      <c r="AK555" s="1">
        <f>IF(AND(ISNUMBER(AJ555),AJ555&gt;0),LN(AJ555),"")</f>
        <v>-3.3269110421234114</v>
      </c>
      <c r="AM555">
        <v>72</v>
      </c>
      <c r="AN555">
        <f>IF(ISNUMBER(AJ555),IF(AJ555&gt;=0.05,1,0),"")</f>
        <v>0</v>
      </c>
      <c r="AO555">
        <f>IF(ISNUMBER(AJ555),IF(AJ555&lt;0.005,1,0),"")</f>
        <v>0</v>
      </c>
      <c r="AQ555" s="34"/>
      <c r="AR555" s="35"/>
      <c r="AS555" s="36"/>
    </row>
    <row r="556" spans="1:45" ht="57" x14ac:dyDescent="0.45">
      <c r="A556" s="1" t="s">
        <v>91</v>
      </c>
      <c r="B556" s="1" t="s">
        <v>86</v>
      </c>
      <c r="C556" s="1">
        <v>182</v>
      </c>
      <c r="D556" s="1">
        <v>444.44</v>
      </c>
      <c r="E556" s="1">
        <v>-1.3</v>
      </c>
      <c r="F556" s="1">
        <v>3.5</v>
      </c>
      <c r="G556" s="1">
        <v>3.6</v>
      </c>
      <c r="H556" s="1">
        <v>1.35</v>
      </c>
      <c r="I556" s="1">
        <v>3.29</v>
      </c>
      <c r="J556" s="1">
        <v>3.0992000000000002</v>
      </c>
      <c r="K556" s="1" t="s">
        <v>83</v>
      </c>
      <c r="N556" s="1">
        <v>13.98</v>
      </c>
      <c r="O556" s="1">
        <v>2.1000000000000001E-2</v>
      </c>
      <c r="P556" s="1">
        <v>7.45</v>
      </c>
      <c r="Q556" s="1">
        <v>40</v>
      </c>
      <c r="R556" s="1" t="s">
        <v>82</v>
      </c>
      <c r="S556" s="1">
        <v>238.11</v>
      </c>
      <c r="T556" s="1">
        <v>92</v>
      </c>
      <c r="U556" s="1">
        <v>2.08</v>
      </c>
      <c r="V556" s="1">
        <v>-6.26</v>
      </c>
      <c r="W556" s="1">
        <v>0.3</v>
      </c>
      <c r="X556" s="1">
        <f t="shared" si="63"/>
        <v>300</v>
      </c>
      <c r="Y556" s="1">
        <v>6.3</v>
      </c>
      <c r="Z556" s="1">
        <v>0.11</v>
      </c>
      <c r="AA556" s="1">
        <v>118.95145629699201</v>
      </c>
      <c r="AC556" s="1">
        <v>55</v>
      </c>
      <c r="AH556" s="1">
        <v>0.97544597403255884</v>
      </c>
      <c r="AJ556" s="1">
        <f>IF(ISNUMBER(AH556),1-AH556,"")</f>
        <v>2.4554025967441162E-2</v>
      </c>
      <c r="AK556" s="1">
        <f>IF(AND(ISNUMBER(AJ556),AJ556&gt;0),LN(AJ556),"")</f>
        <v>-3.7068794476594493</v>
      </c>
      <c r="AM556">
        <v>72</v>
      </c>
      <c r="AN556">
        <f>IF(ISNUMBER(AJ556),IF(AJ556&gt;=0.05,1,0),"")</f>
        <v>0</v>
      </c>
      <c r="AO556">
        <f>IF(ISNUMBER(AJ556),IF(AJ556&lt;0.005,1,0),"")</f>
        <v>0</v>
      </c>
      <c r="AQ556" s="34"/>
      <c r="AR556" s="35"/>
      <c r="AS556" s="36"/>
    </row>
    <row r="557" spans="1:45" ht="57" x14ac:dyDescent="0.45">
      <c r="A557" s="1" t="s">
        <v>92</v>
      </c>
      <c r="B557" s="1" t="s">
        <v>86</v>
      </c>
      <c r="C557" s="1">
        <v>182</v>
      </c>
      <c r="D557" s="1">
        <v>444.44</v>
      </c>
      <c r="E557" s="1">
        <v>-1.3</v>
      </c>
      <c r="F557" s="1">
        <v>3.5</v>
      </c>
      <c r="G557" s="1">
        <v>3.6</v>
      </c>
      <c r="H557" s="1">
        <v>1.35</v>
      </c>
      <c r="I557" s="1">
        <v>3.29</v>
      </c>
      <c r="J557" s="1">
        <v>3.0992000000000002</v>
      </c>
      <c r="K557" s="1" t="s">
        <v>83</v>
      </c>
      <c r="N557" s="1">
        <v>13.98</v>
      </c>
      <c r="O557" s="1">
        <v>2.1000000000000001E-2</v>
      </c>
      <c r="P557" s="1">
        <v>7.45</v>
      </c>
      <c r="Q557" s="1">
        <v>40</v>
      </c>
      <c r="R557" s="1" t="s">
        <v>82</v>
      </c>
      <c r="S557" s="1">
        <v>238.11</v>
      </c>
      <c r="T557" s="1">
        <v>92</v>
      </c>
      <c r="U557" s="1">
        <v>2.08</v>
      </c>
      <c r="V557" s="1">
        <v>-6.26</v>
      </c>
      <c r="W557" s="1">
        <v>0.3</v>
      </c>
      <c r="X557" s="1">
        <f t="shared" si="63"/>
        <v>300</v>
      </c>
      <c r="Y557" s="1">
        <v>6.3</v>
      </c>
      <c r="Z557" s="1">
        <v>0.11</v>
      </c>
      <c r="AA557" s="1">
        <v>0.18673089646635799</v>
      </c>
      <c r="AC557" s="1">
        <v>25</v>
      </c>
      <c r="AH557" s="1">
        <v>1.8335582E-2</v>
      </c>
      <c r="AI557" s="1">
        <v>1.1141895000000001E-2</v>
      </c>
      <c r="AJ557" s="1">
        <f>IF(ISNUMBER(AH557),1-AH557,"")</f>
        <v>0.98166441800000004</v>
      </c>
      <c r="AK557" s="1">
        <f>IF(AND(ISNUMBER(AJ557),AJ557&gt;0),LN(AJ557),"")</f>
        <v>-1.8505762229322414E-2</v>
      </c>
      <c r="AM557">
        <v>73</v>
      </c>
      <c r="AN557">
        <f>IF(ISNUMBER(AJ557),IF(AJ557&gt;=0.05,1,0),"")</f>
        <v>1</v>
      </c>
      <c r="AO557">
        <f>IF(ISNUMBER(AJ557),IF(AJ557&lt;0.005,1,0),"")</f>
        <v>0</v>
      </c>
      <c r="AP557">
        <f>IFERROR(MATCH(0,AN557:AN564,0)-1,8)</f>
        <v>8</v>
      </c>
      <c r="AQ557" s="34">
        <f>IF(AP557&lt;3,"n&lt;3",IFERROR(-SLOPE(AK557:INDEX(AK557:AK564,AP557),AA557:INDEX(AA557:AA564,AP557)),"no fit"))</f>
        <v>9.0439460029833989E-3</v>
      </c>
      <c r="AR557" s="35">
        <f>IF(AP557&lt;3,"",IFERROR(RSQ(AK557:INDEX(AK557:AK564,AP557),AA557:INDEX(AA557:AA564,AP557)),"flat"))</f>
        <v>0.75344139233604834</v>
      </c>
      <c r="AS557" s="36">
        <f>IFERROR(AQ557/AI557,"")</f>
        <v>0.81170626746916918</v>
      </c>
    </row>
    <row r="558" spans="1:45" ht="57" x14ac:dyDescent="0.45">
      <c r="A558" s="1" t="s">
        <v>92</v>
      </c>
      <c r="B558" s="1" t="s">
        <v>86</v>
      </c>
      <c r="C558" s="1">
        <v>182</v>
      </c>
      <c r="D558" s="1">
        <v>444.44</v>
      </c>
      <c r="E558" s="1">
        <v>-1.3</v>
      </c>
      <c r="F558" s="1">
        <v>3.5</v>
      </c>
      <c r="G558" s="1">
        <v>3.6</v>
      </c>
      <c r="H558" s="1">
        <v>1.35</v>
      </c>
      <c r="I558" s="1">
        <v>3.29</v>
      </c>
      <c r="J558" s="1">
        <v>3.0992000000000002</v>
      </c>
      <c r="K558" s="1" t="s">
        <v>83</v>
      </c>
      <c r="N558" s="1">
        <v>13.98</v>
      </c>
      <c r="O558" s="1">
        <v>2.1000000000000001E-2</v>
      </c>
      <c r="P558" s="1">
        <v>7.45</v>
      </c>
      <c r="Q558" s="1">
        <v>40</v>
      </c>
      <c r="R558" s="1" t="s">
        <v>82</v>
      </c>
      <c r="S558" s="1">
        <v>238.11</v>
      </c>
      <c r="T558" s="1">
        <v>92</v>
      </c>
      <c r="U558" s="1">
        <v>2.08</v>
      </c>
      <c r="V558" s="1">
        <v>-6.26</v>
      </c>
      <c r="W558" s="1">
        <v>0.3</v>
      </c>
      <c r="X558" s="1">
        <f t="shared" si="63"/>
        <v>300</v>
      </c>
      <c r="Y558" s="1">
        <v>6.3</v>
      </c>
      <c r="Z558" s="1">
        <v>0.11</v>
      </c>
      <c r="AA558" s="1">
        <v>9.7567898860917097</v>
      </c>
      <c r="AC558" s="1">
        <v>25</v>
      </c>
      <c r="AH558" s="1">
        <v>0.43283876599999999</v>
      </c>
      <c r="AJ558" s="1">
        <f>IF(ISNUMBER(AH558),1-AH558,"")</f>
        <v>0.56716123400000007</v>
      </c>
      <c r="AK558" s="1">
        <f>IF(AND(ISNUMBER(AJ558),AJ558&gt;0),LN(AJ558),"")</f>
        <v>-0.56711165236227268</v>
      </c>
      <c r="AM558">
        <v>73</v>
      </c>
      <c r="AN558">
        <f>IF(ISNUMBER(AJ558),IF(AJ558&gt;=0.05,1,0),"")</f>
        <v>1</v>
      </c>
      <c r="AO558">
        <f>IF(ISNUMBER(AJ558),IF(AJ558&lt;0.005,1,0),"")</f>
        <v>0</v>
      </c>
      <c r="AQ558" s="34"/>
      <c r="AR558" s="35"/>
      <c r="AS558" s="36"/>
    </row>
    <row r="559" spans="1:45" ht="57" x14ac:dyDescent="0.45">
      <c r="A559" s="1" t="s">
        <v>92</v>
      </c>
      <c r="B559" s="1" t="s">
        <v>86</v>
      </c>
      <c r="C559" s="1">
        <v>182</v>
      </c>
      <c r="D559" s="1">
        <v>444.44</v>
      </c>
      <c r="E559" s="1">
        <v>-1.3</v>
      </c>
      <c r="F559" s="1">
        <v>3.5</v>
      </c>
      <c r="G559" s="1">
        <v>3.6</v>
      </c>
      <c r="H559" s="1">
        <v>1.35</v>
      </c>
      <c r="I559" s="1">
        <v>3.29</v>
      </c>
      <c r="J559" s="1">
        <v>3.0992000000000002</v>
      </c>
      <c r="K559" s="1" t="s">
        <v>83</v>
      </c>
      <c r="N559" s="1">
        <v>13.98</v>
      </c>
      <c r="O559" s="1">
        <v>2.1000000000000001E-2</v>
      </c>
      <c r="P559" s="1">
        <v>7.45</v>
      </c>
      <c r="Q559" s="1">
        <v>40</v>
      </c>
      <c r="R559" s="1" t="s">
        <v>82</v>
      </c>
      <c r="S559" s="1">
        <v>238.11</v>
      </c>
      <c r="T559" s="1">
        <v>92</v>
      </c>
      <c r="U559" s="1">
        <v>2.08</v>
      </c>
      <c r="V559" s="1">
        <v>-6.26</v>
      </c>
      <c r="W559" s="1">
        <v>0.3</v>
      </c>
      <c r="X559" s="1">
        <f t="shared" si="63"/>
        <v>300</v>
      </c>
      <c r="Y559" s="1">
        <v>6.3</v>
      </c>
      <c r="Z559" s="1">
        <v>0.11</v>
      </c>
      <c r="AA559" s="1">
        <v>19.732851378307199</v>
      </c>
      <c r="AC559" s="1">
        <v>25</v>
      </c>
      <c r="AH559" s="1">
        <v>0.54771262700000001</v>
      </c>
      <c r="AJ559" s="1">
        <f>IF(ISNUMBER(AH559),1-AH559,"")</f>
        <v>0.45228737299999999</v>
      </c>
      <c r="AK559" s="1">
        <f>IF(AND(ISNUMBER(AJ559),AJ559&gt;0),LN(AJ559),"")</f>
        <v>-0.79343752019955394</v>
      </c>
      <c r="AM559">
        <v>73</v>
      </c>
      <c r="AN559">
        <f>IF(ISNUMBER(AJ559),IF(AJ559&gt;=0.05,1,0),"")</f>
        <v>1</v>
      </c>
      <c r="AO559">
        <f>IF(ISNUMBER(AJ559),IF(AJ559&lt;0.005,1,0),"")</f>
        <v>0</v>
      </c>
      <c r="AQ559" s="34"/>
      <c r="AR559" s="35"/>
      <c r="AS559" s="36"/>
    </row>
    <row r="560" spans="1:45" ht="57" x14ac:dyDescent="0.45">
      <c r="A560" s="1" t="s">
        <v>92</v>
      </c>
      <c r="B560" s="1" t="s">
        <v>86</v>
      </c>
      <c r="C560" s="1">
        <v>182</v>
      </c>
      <c r="D560" s="1">
        <v>444.44</v>
      </c>
      <c r="E560" s="1">
        <v>-1.3</v>
      </c>
      <c r="F560" s="1">
        <v>3.5</v>
      </c>
      <c r="G560" s="1">
        <v>3.6</v>
      </c>
      <c r="H560" s="1">
        <v>1.35</v>
      </c>
      <c r="I560" s="1">
        <v>3.29</v>
      </c>
      <c r="J560" s="1">
        <v>3.0992000000000002</v>
      </c>
      <c r="K560" s="1" t="s">
        <v>83</v>
      </c>
      <c r="N560" s="1">
        <v>13.98</v>
      </c>
      <c r="O560" s="1">
        <v>2.1000000000000001E-2</v>
      </c>
      <c r="P560" s="1">
        <v>7.45</v>
      </c>
      <c r="Q560" s="1">
        <v>40</v>
      </c>
      <c r="R560" s="1" t="s">
        <v>82</v>
      </c>
      <c r="S560" s="1">
        <v>238.11</v>
      </c>
      <c r="T560" s="1">
        <v>92</v>
      </c>
      <c r="U560" s="1">
        <v>2.08</v>
      </c>
      <c r="V560" s="1">
        <v>-6.26</v>
      </c>
      <c r="W560" s="1">
        <v>0.3</v>
      </c>
      <c r="X560" s="1">
        <f t="shared" si="63"/>
        <v>300</v>
      </c>
      <c r="Y560" s="1">
        <v>6.3</v>
      </c>
      <c r="Z560" s="1">
        <v>0.11</v>
      </c>
      <c r="AA560" s="1">
        <v>39.0469704300966</v>
      </c>
      <c r="AC560" s="1">
        <v>25</v>
      </c>
      <c r="AH560" s="1">
        <v>0.64822725599999997</v>
      </c>
      <c r="AJ560" s="1">
        <f>IF(ISNUMBER(AH560),1-AH560,"")</f>
        <v>0.35177274400000003</v>
      </c>
      <c r="AK560" s="1">
        <f>IF(AND(ISNUMBER(AJ560),AJ560&gt;0),LN(AJ560),"")</f>
        <v>-1.0447699255186316</v>
      </c>
      <c r="AM560">
        <v>73</v>
      </c>
      <c r="AN560">
        <f>IF(ISNUMBER(AJ560),IF(AJ560&gt;=0.05,1,0),"")</f>
        <v>1</v>
      </c>
      <c r="AO560">
        <f>IF(ISNUMBER(AJ560),IF(AJ560&lt;0.005,1,0),"")</f>
        <v>0</v>
      </c>
      <c r="AQ560" s="34"/>
      <c r="AR560" s="35"/>
      <c r="AS560" s="36"/>
    </row>
    <row r="561" spans="1:45" ht="57" x14ac:dyDescent="0.45">
      <c r="A561" s="1" t="s">
        <v>92</v>
      </c>
      <c r="B561" s="1" t="s">
        <v>86</v>
      </c>
      <c r="C561" s="1">
        <v>182</v>
      </c>
      <c r="D561" s="1">
        <v>444.44</v>
      </c>
      <c r="E561" s="1">
        <v>-1.3</v>
      </c>
      <c r="F561" s="1">
        <v>3.5</v>
      </c>
      <c r="G561" s="1">
        <v>3.6</v>
      </c>
      <c r="H561" s="1">
        <v>1.35</v>
      </c>
      <c r="I561" s="1">
        <v>3.29</v>
      </c>
      <c r="J561" s="1">
        <v>3.0992000000000002</v>
      </c>
      <c r="K561" s="1" t="s">
        <v>83</v>
      </c>
      <c r="N561" s="1">
        <v>13.98</v>
      </c>
      <c r="O561" s="1">
        <v>2.1000000000000001E-2</v>
      </c>
      <c r="P561" s="1">
        <v>7.45</v>
      </c>
      <c r="Q561" s="1">
        <v>40</v>
      </c>
      <c r="R561" s="1" t="s">
        <v>82</v>
      </c>
      <c r="S561" s="1">
        <v>238.11</v>
      </c>
      <c r="T561" s="1">
        <v>92</v>
      </c>
      <c r="U561" s="1">
        <v>2.08</v>
      </c>
      <c r="V561" s="1">
        <v>-6.26</v>
      </c>
      <c r="W561" s="1">
        <v>0.3</v>
      </c>
      <c r="X561" s="1">
        <f t="shared" si="63"/>
        <v>300</v>
      </c>
      <c r="Y561" s="1">
        <v>6.3</v>
      </c>
      <c r="Z561" s="1">
        <v>0.11</v>
      </c>
      <c r="AA561" s="1">
        <v>58.993980255614602</v>
      </c>
      <c r="AC561" s="1">
        <v>25</v>
      </c>
      <c r="AH561" s="1">
        <v>0.68046296299999998</v>
      </c>
      <c r="AJ561" s="1">
        <f>IF(ISNUMBER(AH561),1-AH561,"")</f>
        <v>0.31953703700000002</v>
      </c>
      <c r="AK561" s="1">
        <f>IF(AND(ISNUMBER(AJ561),AJ561&gt;0),LN(AJ561),"")</f>
        <v>-1.1408820901302159</v>
      </c>
      <c r="AM561">
        <v>73</v>
      </c>
      <c r="AN561">
        <f>IF(ISNUMBER(AJ561),IF(AJ561&gt;=0.05,1,0),"")</f>
        <v>1</v>
      </c>
      <c r="AO561">
        <f>IF(ISNUMBER(AJ561),IF(AJ561&lt;0.005,1,0),"")</f>
        <v>0</v>
      </c>
      <c r="AQ561" s="34"/>
      <c r="AR561" s="35"/>
      <c r="AS561" s="36"/>
    </row>
    <row r="562" spans="1:45" ht="57" x14ac:dyDescent="0.45">
      <c r="A562" s="1" t="s">
        <v>92</v>
      </c>
      <c r="B562" s="1" t="s">
        <v>86</v>
      </c>
      <c r="C562" s="1">
        <v>182</v>
      </c>
      <c r="D562" s="1">
        <v>444.44</v>
      </c>
      <c r="E562" s="1">
        <v>-1.3</v>
      </c>
      <c r="F562" s="1">
        <v>3.5</v>
      </c>
      <c r="G562" s="1">
        <v>3.6</v>
      </c>
      <c r="H562" s="1">
        <v>1.35</v>
      </c>
      <c r="I562" s="1">
        <v>3.29</v>
      </c>
      <c r="J562" s="1">
        <v>3.0992000000000002</v>
      </c>
      <c r="K562" s="1" t="s">
        <v>83</v>
      </c>
      <c r="N562" s="1">
        <v>13.98</v>
      </c>
      <c r="O562" s="1">
        <v>2.1000000000000001E-2</v>
      </c>
      <c r="P562" s="1">
        <v>7.45</v>
      </c>
      <c r="Q562" s="1">
        <v>40</v>
      </c>
      <c r="R562" s="1" t="s">
        <v>82</v>
      </c>
      <c r="S562" s="1">
        <v>238.11</v>
      </c>
      <c r="T562" s="1">
        <v>92</v>
      </c>
      <c r="U562" s="1">
        <v>2.08</v>
      </c>
      <c r="V562" s="1">
        <v>-6.26</v>
      </c>
      <c r="W562" s="1">
        <v>0.3</v>
      </c>
      <c r="X562" s="1">
        <f t="shared" si="63"/>
        <v>300</v>
      </c>
      <c r="Y562" s="1">
        <v>6.3</v>
      </c>
      <c r="Z562" s="1">
        <v>0.11</v>
      </c>
      <c r="AA562" s="1">
        <v>78.371212823829893</v>
      </c>
      <c r="AC562" s="1">
        <v>25</v>
      </c>
      <c r="AH562" s="1">
        <v>0.70470690499999999</v>
      </c>
      <c r="AJ562" s="1">
        <f>IF(ISNUMBER(AH562),1-AH562,"")</f>
        <v>0.29529309500000001</v>
      </c>
      <c r="AK562" s="1">
        <f>IF(AND(ISNUMBER(AJ562),AJ562&gt;0),LN(AJ562),"")</f>
        <v>-1.2197868735059854</v>
      </c>
      <c r="AM562">
        <v>73</v>
      </c>
      <c r="AN562">
        <f>IF(ISNUMBER(AJ562),IF(AJ562&gt;=0.05,1,0),"")</f>
        <v>1</v>
      </c>
      <c r="AO562">
        <f>IF(ISNUMBER(AJ562),IF(AJ562&lt;0.005,1,0),"")</f>
        <v>0</v>
      </c>
      <c r="AQ562" s="34"/>
      <c r="AR562" s="35"/>
      <c r="AS562" s="36"/>
    </row>
    <row r="563" spans="1:45" ht="57" x14ac:dyDescent="0.45">
      <c r="A563" s="1" t="s">
        <v>92</v>
      </c>
      <c r="B563" s="1" t="s">
        <v>86</v>
      </c>
      <c r="C563" s="1">
        <v>182</v>
      </c>
      <c r="D563" s="1">
        <v>444.44</v>
      </c>
      <c r="E563" s="1">
        <v>-1.3</v>
      </c>
      <c r="F563" s="1">
        <v>3.5</v>
      </c>
      <c r="G563" s="1">
        <v>3.6</v>
      </c>
      <c r="H563" s="1">
        <v>1.35</v>
      </c>
      <c r="I563" s="1">
        <v>3.29</v>
      </c>
      <c r="J563" s="1">
        <v>3.0992000000000002</v>
      </c>
      <c r="K563" s="1" t="s">
        <v>83</v>
      </c>
      <c r="N563" s="1">
        <v>13.98</v>
      </c>
      <c r="O563" s="1">
        <v>2.1000000000000001E-2</v>
      </c>
      <c r="P563" s="1">
        <v>7.45</v>
      </c>
      <c r="Q563" s="1">
        <v>40</v>
      </c>
      <c r="R563" s="1" t="s">
        <v>82</v>
      </c>
      <c r="S563" s="1">
        <v>238.11</v>
      </c>
      <c r="T563" s="1">
        <v>92</v>
      </c>
      <c r="U563" s="1">
        <v>2.08</v>
      </c>
      <c r="V563" s="1">
        <v>-6.26</v>
      </c>
      <c r="W563" s="1">
        <v>0.3</v>
      </c>
      <c r="X563" s="1">
        <f t="shared" si="63"/>
        <v>300</v>
      </c>
      <c r="Y563" s="1">
        <v>6.3</v>
      </c>
      <c r="Z563" s="1">
        <v>0.11</v>
      </c>
      <c r="AA563" s="1">
        <v>97.917333305670795</v>
      </c>
      <c r="AC563" s="1">
        <v>25</v>
      </c>
      <c r="AH563" s="1">
        <v>0.71763021400000004</v>
      </c>
      <c r="AJ563" s="1">
        <f>IF(ISNUMBER(AH563),1-AH563,"")</f>
        <v>0.28236978599999996</v>
      </c>
      <c r="AK563" s="1">
        <f>IF(AND(ISNUMBER(AJ563),AJ563&gt;0),LN(AJ563),"")</f>
        <v>-1.2645377691718835</v>
      </c>
      <c r="AM563">
        <v>73</v>
      </c>
      <c r="AN563">
        <f>IF(ISNUMBER(AJ563),IF(AJ563&gt;=0.05,1,0),"")</f>
        <v>1</v>
      </c>
      <c r="AO563">
        <f>IF(ISNUMBER(AJ563),IF(AJ563&lt;0.005,1,0),"")</f>
        <v>0</v>
      </c>
      <c r="AQ563" s="34"/>
      <c r="AR563" s="35"/>
      <c r="AS563" s="36"/>
    </row>
    <row r="564" spans="1:45" ht="57" x14ac:dyDescent="0.45">
      <c r="A564" s="1" t="s">
        <v>92</v>
      </c>
      <c r="B564" s="1" t="s">
        <v>86</v>
      </c>
      <c r="C564" s="1">
        <v>182</v>
      </c>
      <c r="D564" s="1">
        <v>444.44</v>
      </c>
      <c r="E564" s="1">
        <v>-1.3</v>
      </c>
      <c r="F564" s="1">
        <v>3.5</v>
      </c>
      <c r="G564" s="1">
        <v>3.6</v>
      </c>
      <c r="H564" s="1">
        <v>1.35</v>
      </c>
      <c r="I564" s="1">
        <v>3.29</v>
      </c>
      <c r="J564" s="1">
        <v>3.0992000000000002</v>
      </c>
      <c r="K564" s="1" t="s">
        <v>83</v>
      </c>
      <c r="N564" s="1">
        <v>13.98</v>
      </c>
      <c r="O564" s="1">
        <v>2.1000000000000001E-2</v>
      </c>
      <c r="P564" s="1">
        <v>7.45</v>
      </c>
      <c r="Q564" s="1">
        <v>40</v>
      </c>
      <c r="R564" s="1" t="s">
        <v>82</v>
      </c>
      <c r="S564" s="1">
        <v>238.11</v>
      </c>
      <c r="T564" s="1">
        <v>92</v>
      </c>
      <c r="U564" s="1">
        <v>2.08</v>
      </c>
      <c r="V564" s="1">
        <v>-6.26</v>
      </c>
      <c r="W564" s="1">
        <v>0.3</v>
      </c>
      <c r="X564" s="1">
        <f t="shared" si="63"/>
        <v>300</v>
      </c>
      <c r="Y564" s="1">
        <v>6.3</v>
      </c>
      <c r="Z564" s="1">
        <v>0.11</v>
      </c>
      <c r="AA564" s="1">
        <v>117.347453072486</v>
      </c>
      <c r="AC564" s="1">
        <v>25</v>
      </c>
      <c r="AH564" s="1">
        <v>0.73390401100000002</v>
      </c>
      <c r="AJ564" s="1">
        <f>IF(ISNUMBER(AH564),1-AH564,"")</f>
        <v>0.26609598899999998</v>
      </c>
      <c r="AK564" s="1">
        <f>IF(AND(ISNUMBER(AJ564),AJ564&gt;0),LN(AJ564),"")</f>
        <v>-1.3238981743928182</v>
      </c>
      <c r="AM564">
        <v>73</v>
      </c>
      <c r="AN564">
        <f>IF(ISNUMBER(AJ564),IF(AJ564&gt;=0.05,1,0),"")</f>
        <v>1</v>
      </c>
      <c r="AO564">
        <f>IF(ISNUMBER(AJ564),IF(AJ564&lt;0.005,1,0),"")</f>
        <v>0</v>
      </c>
      <c r="AQ564" s="34"/>
      <c r="AR564" s="35"/>
      <c r="AS564" s="36"/>
    </row>
    <row r="565" spans="1:45" ht="57" x14ac:dyDescent="0.45">
      <c r="A565" s="1" t="s">
        <v>92</v>
      </c>
      <c r="B565" s="1" t="s">
        <v>86</v>
      </c>
      <c r="C565" s="1">
        <v>182</v>
      </c>
      <c r="D565" s="1">
        <v>444.44</v>
      </c>
      <c r="E565" s="1">
        <v>-1.3</v>
      </c>
      <c r="F565" s="1">
        <v>3.5</v>
      </c>
      <c r="G565" s="1">
        <v>3.6</v>
      </c>
      <c r="H565" s="1">
        <v>1.35</v>
      </c>
      <c r="I565" s="1">
        <v>3.29</v>
      </c>
      <c r="J565" s="1">
        <v>3.0992000000000002</v>
      </c>
      <c r="K565" s="1" t="s">
        <v>83</v>
      </c>
      <c r="N565" s="1">
        <v>13.98</v>
      </c>
      <c r="O565" s="1">
        <v>2.1000000000000001E-2</v>
      </c>
      <c r="P565" s="1">
        <v>7.45</v>
      </c>
      <c r="Q565" s="1">
        <v>40</v>
      </c>
      <c r="R565" s="1" t="s">
        <v>82</v>
      </c>
      <c r="S565" s="1">
        <v>238.11</v>
      </c>
      <c r="T565" s="1">
        <v>92</v>
      </c>
      <c r="U565" s="1">
        <v>2.08</v>
      </c>
      <c r="V565" s="1">
        <v>-6.26</v>
      </c>
      <c r="W565" s="1">
        <v>0.3</v>
      </c>
      <c r="X565" s="1">
        <f t="shared" si="63"/>
        <v>300</v>
      </c>
      <c r="Y565" s="1">
        <v>6.3</v>
      </c>
      <c r="Z565" s="1">
        <v>0.11</v>
      </c>
      <c r="AA565" s="1">
        <v>-0.103270891098047</v>
      </c>
      <c r="AC565" s="1">
        <v>25</v>
      </c>
      <c r="AD565" s="1" t="s">
        <v>93</v>
      </c>
      <c r="AE565" s="1">
        <v>1</v>
      </c>
      <c r="AH565" s="1">
        <v>1.9292864E-2</v>
      </c>
      <c r="AI565" s="1">
        <v>1.1125774E-2</v>
      </c>
      <c r="AJ565" s="1">
        <f>IF(ISNUMBER(AH565),1-AH565,"")</f>
        <v>0.98070713600000003</v>
      </c>
      <c r="AK565" s="1">
        <f>IF(AND(ISNUMBER(AJ565),AJ565&gt;0),LN(AJ565),"")</f>
        <v>-1.9481400175136172E-2</v>
      </c>
      <c r="AM565">
        <v>74</v>
      </c>
      <c r="AN565">
        <f>IF(ISNUMBER(AJ565),IF(AJ565&gt;=0.05,1,0),"")</f>
        <v>1</v>
      </c>
      <c r="AO565">
        <f>IF(ISNUMBER(AJ565),IF(AJ565&lt;0.005,1,0),"")</f>
        <v>0</v>
      </c>
      <c r="AP565">
        <f>IFERROR(MATCH(0,AN565:AN572,0)-1,8)</f>
        <v>8</v>
      </c>
      <c r="AQ565" s="34">
        <f>IF(AP565&lt;3,"n&lt;3",IFERROR(-SLOPE(AK565:INDEX(AK565:AK572,AP565),AA565:INDEX(AA565:AA572,AP565)),"no fit"))</f>
        <v>7.4400278259899267E-3</v>
      </c>
      <c r="AR565" s="35">
        <f>IF(AP565&lt;3,"",IFERROR(RSQ(AK565:INDEX(AK565:AK572,AP565),AA565:INDEX(AA565:AA572,AP565)),"flat"))</f>
        <v>0.54174760373198161</v>
      </c>
      <c r="AS565" s="36">
        <f>IFERROR(AQ565/AI565,"")</f>
        <v>0.66872002127581653</v>
      </c>
    </row>
    <row r="566" spans="1:45" ht="57" x14ac:dyDescent="0.45">
      <c r="A566" s="1" t="s">
        <v>92</v>
      </c>
      <c r="B566" s="1" t="s">
        <v>86</v>
      </c>
      <c r="C566" s="1">
        <v>182</v>
      </c>
      <c r="D566" s="1">
        <v>444.44</v>
      </c>
      <c r="E566" s="1">
        <v>-1.3</v>
      </c>
      <c r="F566" s="1">
        <v>3.5</v>
      </c>
      <c r="G566" s="1">
        <v>3.6</v>
      </c>
      <c r="H566" s="1">
        <v>1.35</v>
      </c>
      <c r="I566" s="1">
        <v>3.29</v>
      </c>
      <c r="J566" s="1">
        <v>3.0992000000000002</v>
      </c>
      <c r="K566" s="1" t="s">
        <v>83</v>
      </c>
      <c r="N566" s="1">
        <v>13.98</v>
      </c>
      <c r="O566" s="1">
        <v>2.1000000000000001E-2</v>
      </c>
      <c r="P566" s="1">
        <v>7.45</v>
      </c>
      <c r="Q566" s="1">
        <v>40</v>
      </c>
      <c r="R566" s="1" t="s">
        <v>82</v>
      </c>
      <c r="S566" s="1">
        <v>238.11</v>
      </c>
      <c r="T566" s="1">
        <v>92</v>
      </c>
      <c r="U566" s="1">
        <v>2.08</v>
      </c>
      <c r="V566" s="1">
        <v>-6.26</v>
      </c>
      <c r="W566" s="1">
        <v>0.3</v>
      </c>
      <c r="X566" s="1">
        <f t="shared" si="63"/>
        <v>300</v>
      </c>
      <c r="Y566" s="1">
        <v>6.3</v>
      </c>
      <c r="Z566" s="1">
        <v>0.11</v>
      </c>
      <c r="AA566" s="1">
        <v>9.7567898860917097</v>
      </c>
      <c r="AC566" s="1">
        <v>25</v>
      </c>
      <c r="AD566" s="1" t="s">
        <v>93</v>
      </c>
      <c r="AE566" s="1">
        <v>1</v>
      </c>
      <c r="AH566" s="1">
        <v>0.58887576100000005</v>
      </c>
      <c r="AJ566" s="1">
        <f>IF(ISNUMBER(AH566),1-AH566,"")</f>
        <v>0.41112423899999995</v>
      </c>
      <c r="AK566" s="1">
        <f>IF(AND(ISNUMBER(AJ566),AJ566&gt;0),LN(AJ566),"")</f>
        <v>-0.88885982549317599</v>
      </c>
      <c r="AM566">
        <v>74</v>
      </c>
      <c r="AN566">
        <f>IF(ISNUMBER(AJ566),IF(AJ566&gt;=0.05,1,0),"")</f>
        <v>1</v>
      </c>
      <c r="AO566">
        <f>IF(ISNUMBER(AJ566),IF(AJ566&lt;0.005,1,0),"")</f>
        <v>0</v>
      </c>
      <c r="AQ566" s="34"/>
      <c r="AR566" s="35"/>
      <c r="AS566" s="36"/>
    </row>
    <row r="567" spans="1:45" ht="57" x14ac:dyDescent="0.45">
      <c r="A567" s="1" t="s">
        <v>92</v>
      </c>
      <c r="B567" s="1" t="s">
        <v>86</v>
      </c>
      <c r="C567" s="1">
        <v>182</v>
      </c>
      <c r="D567" s="1">
        <v>444.44</v>
      </c>
      <c r="E567" s="1">
        <v>-1.3</v>
      </c>
      <c r="F567" s="1">
        <v>3.5</v>
      </c>
      <c r="G567" s="1">
        <v>3.6</v>
      </c>
      <c r="H567" s="1">
        <v>1.35</v>
      </c>
      <c r="I567" s="1">
        <v>3.29</v>
      </c>
      <c r="J567" s="1">
        <v>3.0992000000000002</v>
      </c>
      <c r="K567" s="1" t="s">
        <v>83</v>
      </c>
      <c r="N567" s="1">
        <v>13.98</v>
      </c>
      <c r="O567" s="1">
        <v>2.1000000000000001E-2</v>
      </c>
      <c r="P567" s="1">
        <v>7.45</v>
      </c>
      <c r="Q567" s="1">
        <v>40</v>
      </c>
      <c r="R567" s="1" t="s">
        <v>82</v>
      </c>
      <c r="S567" s="1">
        <v>238.11</v>
      </c>
      <c r="T567" s="1">
        <v>92</v>
      </c>
      <c r="U567" s="1">
        <v>2.08</v>
      </c>
      <c r="V567" s="1">
        <v>-6.26</v>
      </c>
      <c r="W567" s="1">
        <v>0.3</v>
      </c>
      <c r="X567" s="1">
        <f t="shared" si="63"/>
        <v>300</v>
      </c>
      <c r="Y567" s="1">
        <v>6.3</v>
      </c>
      <c r="Z567" s="1">
        <v>0.11</v>
      </c>
      <c r="AA567" s="1">
        <v>19.820104310308199</v>
      </c>
      <c r="AC567" s="1">
        <v>25</v>
      </c>
      <c r="AD567" s="1" t="s">
        <v>93</v>
      </c>
      <c r="AE567" s="1">
        <v>1</v>
      </c>
      <c r="AH567" s="1">
        <v>0.65433950600000002</v>
      </c>
      <c r="AJ567" s="1">
        <f>IF(ISNUMBER(AH567),1-AH567,"")</f>
        <v>0.34566049399999998</v>
      </c>
      <c r="AK567" s="1">
        <f>IF(AND(ISNUMBER(AJ567),AJ567&gt;0),LN(AJ567),"")</f>
        <v>-1.0622982168607797</v>
      </c>
      <c r="AM567">
        <v>74</v>
      </c>
      <c r="AN567">
        <f>IF(ISNUMBER(AJ567),IF(AJ567&gt;=0.05,1,0),"")</f>
        <v>1</v>
      </c>
      <c r="AO567">
        <f>IF(ISNUMBER(AJ567),IF(AJ567&lt;0.005,1,0),"")</f>
        <v>0</v>
      </c>
      <c r="AQ567" s="34"/>
      <c r="AR567" s="35"/>
      <c r="AS567" s="36"/>
    </row>
    <row r="568" spans="1:45" ht="57" x14ac:dyDescent="0.45">
      <c r="A568" s="1" t="s">
        <v>92</v>
      </c>
      <c r="B568" s="1" t="s">
        <v>86</v>
      </c>
      <c r="C568" s="1">
        <v>182</v>
      </c>
      <c r="D568" s="1">
        <v>444.44</v>
      </c>
      <c r="E568" s="1">
        <v>-1.3</v>
      </c>
      <c r="F568" s="1">
        <v>3.5</v>
      </c>
      <c r="G568" s="1">
        <v>3.6</v>
      </c>
      <c r="H568" s="1">
        <v>1.35</v>
      </c>
      <c r="I568" s="1">
        <v>3.29</v>
      </c>
      <c r="J568" s="1">
        <v>3.0992000000000002</v>
      </c>
      <c r="K568" s="1" t="s">
        <v>83</v>
      </c>
      <c r="N568" s="1">
        <v>13.98</v>
      </c>
      <c r="O568" s="1">
        <v>2.1000000000000001E-2</v>
      </c>
      <c r="P568" s="1">
        <v>7.45</v>
      </c>
      <c r="Q568" s="1">
        <v>40</v>
      </c>
      <c r="R568" s="1" t="s">
        <v>82</v>
      </c>
      <c r="S568" s="1">
        <v>238.11</v>
      </c>
      <c r="T568" s="1">
        <v>92</v>
      </c>
      <c r="U568" s="1">
        <v>2.08</v>
      </c>
      <c r="V568" s="1">
        <v>-6.26</v>
      </c>
      <c r="W568" s="1">
        <v>0.3</v>
      </c>
      <c r="X568" s="1">
        <f t="shared" si="63"/>
        <v>300</v>
      </c>
      <c r="Y568" s="1">
        <v>6.3</v>
      </c>
      <c r="Z568" s="1">
        <v>0.11</v>
      </c>
      <c r="AA568" s="1">
        <v>39.220971502635201</v>
      </c>
      <c r="AC568" s="1">
        <v>25</v>
      </c>
      <c r="AD568" s="1" t="s">
        <v>93</v>
      </c>
      <c r="AE568" s="1">
        <v>1</v>
      </c>
      <c r="AH568" s="1">
        <v>0.68508261999999998</v>
      </c>
      <c r="AJ568" s="1">
        <f>IF(ISNUMBER(AH568),1-AH568,"")</f>
        <v>0.31491738000000002</v>
      </c>
      <c r="AK568" s="1">
        <f>IF(AND(ISNUMBER(AJ568),AJ568&gt;0),LN(AJ568),"")</f>
        <v>-1.1554449602737034</v>
      </c>
      <c r="AM568">
        <v>74</v>
      </c>
      <c r="AN568">
        <f>IF(ISNUMBER(AJ568),IF(AJ568&gt;=0.05,1,0),"")</f>
        <v>1</v>
      </c>
      <c r="AO568">
        <f>IF(ISNUMBER(AJ568),IF(AJ568&lt;0.005,1,0),"")</f>
        <v>0</v>
      </c>
      <c r="AQ568" s="34"/>
      <c r="AR568" s="35"/>
      <c r="AS568" s="36"/>
    </row>
    <row r="569" spans="1:45" ht="57" x14ac:dyDescent="0.45">
      <c r="A569" s="1" t="s">
        <v>92</v>
      </c>
      <c r="B569" s="1" t="s">
        <v>86</v>
      </c>
      <c r="C569" s="1">
        <v>182</v>
      </c>
      <c r="D569" s="1">
        <v>444.44</v>
      </c>
      <c r="E569" s="1">
        <v>-1.3</v>
      </c>
      <c r="F569" s="1">
        <v>3.5</v>
      </c>
      <c r="G569" s="1">
        <v>3.6</v>
      </c>
      <c r="H569" s="1">
        <v>1.35</v>
      </c>
      <c r="I569" s="1">
        <v>3.29</v>
      </c>
      <c r="J569" s="1">
        <v>3.0992000000000002</v>
      </c>
      <c r="K569" s="1" t="s">
        <v>83</v>
      </c>
      <c r="N569" s="1">
        <v>13.98</v>
      </c>
      <c r="O569" s="1">
        <v>2.1000000000000001E-2</v>
      </c>
      <c r="P569" s="1">
        <v>7.45</v>
      </c>
      <c r="Q569" s="1">
        <v>40</v>
      </c>
      <c r="R569" s="1" t="s">
        <v>82</v>
      </c>
      <c r="S569" s="1">
        <v>238.11</v>
      </c>
      <c r="T569" s="1">
        <v>92</v>
      </c>
      <c r="U569" s="1">
        <v>2.08</v>
      </c>
      <c r="V569" s="1">
        <v>-6.26</v>
      </c>
      <c r="W569" s="1">
        <v>0.3</v>
      </c>
      <c r="X569" s="1">
        <f t="shared" si="63"/>
        <v>300</v>
      </c>
      <c r="Y569" s="1">
        <v>6.3</v>
      </c>
      <c r="Z569" s="1">
        <v>0.11</v>
      </c>
      <c r="AA569" s="1">
        <v>58.598284538995401</v>
      </c>
      <c r="AC569" s="1">
        <v>25</v>
      </c>
      <c r="AD569" s="1" t="s">
        <v>93</v>
      </c>
      <c r="AE569" s="1">
        <v>1</v>
      </c>
      <c r="AH569" s="1">
        <v>0.70495370400000001</v>
      </c>
      <c r="AJ569" s="1">
        <f>IF(ISNUMBER(AH569),1-AH569,"")</f>
        <v>0.29504629599999999</v>
      </c>
      <c r="AK569" s="1">
        <f>IF(AND(ISNUMBER(AJ569),AJ569&gt;0),LN(AJ569),"")</f>
        <v>-1.2206229993621989</v>
      </c>
      <c r="AM569">
        <v>74</v>
      </c>
      <c r="AN569">
        <f>IF(ISNUMBER(AJ569),IF(AJ569&gt;=0.05,1,0),"")</f>
        <v>1</v>
      </c>
      <c r="AO569">
        <f>IF(ISNUMBER(AJ569),IF(AJ569&lt;0.005,1,0),"")</f>
        <v>0</v>
      </c>
      <c r="AQ569" s="34"/>
      <c r="AR569" s="35"/>
      <c r="AS569" s="36"/>
    </row>
    <row r="570" spans="1:45" ht="57" x14ac:dyDescent="0.45">
      <c r="A570" s="1" t="s">
        <v>92</v>
      </c>
      <c r="B570" s="1" t="s">
        <v>86</v>
      </c>
      <c r="C570" s="1">
        <v>182</v>
      </c>
      <c r="D570" s="1">
        <v>444.44</v>
      </c>
      <c r="E570" s="1">
        <v>-1.3</v>
      </c>
      <c r="F570" s="1">
        <v>3.5</v>
      </c>
      <c r="G570" s="1">
        <v>3.6</v>
      </c>
      <c r="H570" s="1">
        <v>1.35</v>
      </c>
      <c r="I570" s="1">
        <v>3.29</v>
      </c>
      <c r="J570" s="1">
        <v>3.0992000000000002</v>
      </c>
      <c r="K570" s="1" t="s">
        <v>83</v>
      </c>
      <c r="N570" s="1">
        <v>13.98</v>
      </c>
      <c r="O570" s="1">
        <v>2.1000000000000001E-2</v>
      </c>
      <c r="P570" s="1">
        <v>7.45</v>
      </c>
      <c r="Q570" s="1">
        <v>40</v>
      </c>
      <c r="R570" s="1" t="s">
        <v>82</v>
      </c>
      <c r="S570" s="1">
        <v>238.11</v>
      </c>
      <c r="T570" s="1">
        <v>92</v>
      </c>
      <c r="U570" s="1">
        <v>2.08</v>
      </c>
      <c r="V570" s="1">
        <v>-6.26</v>
      </c>
      <c r="W570" s="1">
        <v>0.3</v>
      </c>
      <c r="X570" s="1">
        <f t="shared" si="63"/>
        <v>300</v>
      </c>
      <c r="Y570" s="1">
        <v>6.3</v>
      </c>
      <c r="Z570" s="1">
        <v>0.11</v>
      </c>
      <c r="AA570" s="1">
        <v>78.383070369958205</v>
      </c>
      <c r="AC570" s="1">
        <v>25</v>
      </c>
      <c r="AD570" s="1" t="s">
        <v>93</v>
      </c>
      <c r="AE570" s="1">
        <v>1</v>
      </c>
      <c r="AH570" s="1">
        <v>0.71311728399999996</v>
      </c>
      <c r="AJ570" s="1">
        <f>IF(ISNUMBER(AH570),1-AH570,"")</f>
        <v>0.28688271600000004</v>
      </c>
      <c r="AK570" s="1">
        <f>IF(AND(ISNUMBER(AJ570),AJ570&gt;0),LN(AJ570),"")</f>
        <v>-1.2486818017970118</v>
      </c>
      <c r="AM570">
        <v>74</v>
      </c>
      <c r="AN570">
        <f>IF(ISNUMBER(AJ570),IF(AJ570&gt;=0.05,1,0),"")</f>
        <v>1</v>
      </c>
      <c r="AO570">
        <f>IF(ISNUMBER(AJ570),IF(AJ570&lt;0.005,1,0),"")</f>
        <v>0</v>
      </c>
      <c r="AQ570" s="34"/>
      <c r="AR570" s="35"/>
      <c r="AS570" s="36"/>
    </row>
    <row r="571" spans="1:45" ht="57" x14ac:dyDescent="0.45">
      <c r="A571" s="1" t="s">
        <v>92</v>
      </c>
      <c r="B571" s="1" t="s">
        <v>86</v>
      </c>
      <c r="C571" s="1">
        <v>182</v>
      </c>
      <c r="D571" s="1">
        <v>444.44</v>
      </c>
      <c r="E571" s="1">
        <v>-1.3</v>
      </c>
      <c r="F571" s="1">
        <v>3.5</v>
      </c>
      <c r="G571" s="1">
        <v>3.6</v>
      </c>
      <c r="H571" s="1">
        <v>1.35</v>
      </c>
      <c r="I571" s="1">
        <v>3.29</v>
      </c>
      <c r="J571" s="1">
        <v>3.0992000000000002</v>
      </c>
      <c r="K571" s="1" t="s">
        <v>83</v>
      </c>
      <c r="N571" s="1">
        <v>13.98</v>
      </c>
      <c r="O571" s="1">
        <v>2.1000000000000001E-2</v>
      </c>
      <c r="P571" s="1">
        <v>7.45</v>
      </c>
      <c r="Q571" s="1">
        <v>40</v>
      </c>
      <c r="R571" s="1" t="s">
        <v>82</v>
      </c>
      <c r="S571" s="1">
        <v>238.11</v>
      </c>
      <c r="T571" s="1">
        <v>92</v>
      </c>
      <c r="U571" s="1">
        <v>2.08</v>
      </c>
      <c r="V571" s="1">
        <v>-6.26</v>
      </c>
      <c r="W571" s="1">
        <v>0.3</v>
      </c>
      <c r="X571" s="1">
        <f t="shared" si="63"/>
        <v>300</v>
      </c>
      <c r="Y571" s="1">
        <v>6.3</v>
      </c>
      <c r="Z571" s="1">
        <v>0.11</v>
      </c>
      <c r="AA571" s="1">
        <v>97.801332590645103</v>
      </c>
      <c r="AC571" s="1">
        <v>25</v>
      </c>
      <c r="AD571" s="1" t="s">
        <v>93</v>
      </c>
      <c r="AE571" s="1">
        <v>1</v>
      </c>
      <c r="AH571" s="1">
        <v>0.73055352399999995</v>
      </c>
      <c r="AJ571" s="1">
        <f>IF(ISNUMBER(AH571),1-AH571,"")</f>
        <v>0.26944647600000005</v>
      </c>
      <c r="AK571" s="1">
        <f>IF(AND(ISNUMBER(AJ571),AJ571&gt;0),LN(AJ571),"")</f>
        <v>-1.3113855131813823</v>
      </c>
      <c r="AM571">
        <v>74</v>
      </c>
      <c r="AN571">
        <f>IF(ISNUMBER(AJ571),IF(AJ571&gt;=0.05,1,0),"")</f>
        <v>1</v>
      </c>
      <c r="AO571">
        <f>IF(ISNUMBER(AJ571),IF(AJ571&lt;0.005,1,0),"")</f>
        <v>0</v>
      </c>
      <c r="AQ571" s="34"/>
      <c r="AR571" s="35"/>
      <c r="AS571" s="36"/>
    </row>
    <row r="572" spans="1:45" ht="57" x14ac:dyDescent="0.45">
      <c r="A572" s="1" t="s">
        <v>92</v>
      </c>
      <c r="B572" s="1" t="s">
        <v>86</v>
      </c>
      <c r="C572" s="1">
        <v>182</v>
      </c>
      <c r="D572" s="1">
        <v>444.44</v>
      </c>
      <c r="E572" s="1">
        <v>-1.3</v>
      </c>
      <c r="F572" s="1">
        <v>3.5</v>
      </c>
      <c r="G572" s="1">
        <v>3.6</v>
      </c>
      <c r="H572" s="1">
        <v>1.35</v>
      </c>
      <c r="I572" s="1">
        <v>3.29</v>
      </c>
      <c r="J572" s="1">
        <v>3.0992000000000002</v>
      </c>
      <c r="K572" s="1" t="s">
        <v>83</v>
      </c>
      <c r="N572" s="1">
        <v>13.98</v>
      </c>
      <c r="O572" s="1">
        <v>2.1000000000000001E-2</v>
      </c>
      <c r="P572" s="1">
        <v>7.45</v>
      </c>
      <c r="Q572" s="1">
        <v>40</v>
      </c>
      <c r="R572" s="1" t="s">
        <v>82</v>
      </c>
      <c r="S572" s="1">
        <v>238.11</v>
      </c>
      <c r="T572" s="1">
        <v>92</v>
      </c>
      <c r="U572" s="1">
        <v>2.08</v>
      </c>
      <c r="V572" s="1">
        <v>-6.26</v>
      </c>
      <c r="W572" s="1">
        <v>0.3</v>
      </c>
      <c r="X572" s="1">
        <f t="shared" si="63"/>
        <v>300</v>
      </c>
      <c r="Y572" s="1">
        <v>6.3</v>
      </c>
      <c r="Z572" s="1">
        <v>0.11</v>
      </c>
      <c r="AA572" s="1">
        <v>117.463453787511</v>
      </c>
      <c r="AC572" s="1">
        <v>25</v>
      </c>
      <c r="AD572" s="1" t="s">
        <v>93</v>
      </c>
      <c r="AE572" s="1">
        <v>1</v>
      </c>
      <c r="AH572" s="1">
        <v>0.734861294</v>
      </c>
      <c r="AJ572" s="1">
        <f>IF(ISNUMBER(AH572),1-AH572,"")</f>
        <v>0.265138706</v>
      </c>
      <c r="AK572" s="1">
        <f>IF(AND(ISNUMBER(AJ572),AJ572&gt;0),LN(AJ572),"")</f>
        <v>-1.3275021710638648</v>
      </c>
      <c r="AM572">
        <v>74</v>
      </c>
      <c r="AN572">
        <f>IF(ISNUMBER(AJ572),IF(AJ572&gt;=0.05,1,0),"")</f>
        <v>1</v>
      </c>
      <c r="AO572">
        <f>IF(ISNUMBER(AJ572),IF(AJ572&lt;0.005,1,0),"")</f>
        <v>0</v>
      </c>
      <c r="AQ572" s="34"/>
      <c r="AR572" s="35"/>
      <c r="AS572" s="36"/>
    </row>
    <row r="573" spans="1:45" ht="57" x14ac:dyDescent="0.45">
      <c r="A573" s="1" t="s">
        <v>92</v>
      </c>
      <c r="B573" s="1" t="s">
        <v>86</v>
      </c>
      <c r="C573" s="1">
        <v>182</v>
      </c>
      <c r="D573" s="1">
        <v>444.44</v>
      </c>
      <c r="E573" s="1">
        <v>-1.3</v>
      </c>
      <c r="F573" s="1">
        <v>3.5</v>
      </c>
      <c r="G573" s="1">
        <v>3.6</v>
      </c>
      <c r="H573" s="1">
        <v>1.35</v>
      </c>
      <c r="I573" s="1">
        <v>3.29</v>
      </c>
      <c r="J573" s="1">
        <v>3.0992000000000002</v>
      </c>
      <c r="K573" s="1" t="s">
        <v>83</v>
      </c>
      <c r="N573" s="1">
        <v>13.98</v>
      </c>
      <c r="O573" s="1">
        <v>2.1000000000000001E-2</v>
      </c>
      <c r="P573" s="1">
        <v>7.45</v>
      </c>
      <c r="Q573" s="1">
        <v>40</v>
      </c>
      <c r="R573" s="1" t="s">
        <v>82</v>
      </c>
      <c r="S573" s="1">
        <v>238.11</v>
      </c>
      <c r="T573" s="1">
        <v>92</v>
      </c>
      <c r="U573" s="1">
        <v>2.08</v>
      </c>
      <c r="V573" s="1">
        <v>-6.26</v>
      </c>
      <c r="W573" s="1">
        <v>0.3</v>
      </c>
      <c r="X573" s="1">
        <f t="shared" si="63"/>
        <v>300</v>
      </c>
      <c r="Y573" s="1">
        <v>6.3</v>
      </c>
      <c r="Z573" s="1">
        <v>0.11</v>
      </c>
      <c r="AA573" s="1">
        <v>7.0730181440585502E-2</v>
      </c>
      <c r="AC573" s="1">
        <v>25</v>
      </c>
      <c r="AD573" s="1" t="s">
        <v>93</v>
      </c>
      <c r="AE573" s="1">
        <v>5</v>
      </c>
      <c r="AH573" s="1">
        <v>1.7378299E-2</v>
      </c>
      <c r="AI573" s="1">
        <v>1.0413267E-2</v>
      </c>
      <c r="AJ573" s="1">
        <f>IF(ISNUMBER(AH573),1-AH573,"")</f>
        <v>0.98262170100000001</v>
      </c>
      <c r="AK573" s="1">
        <f>IF(AND(ISNUMBER(AJ573),AJ573&gt;0),LN(AJ573),"")</f>
        <v>-1.7531074207524897E-2</v>
      </c>
      <c r="AM573">
        <v>75</v>
      </c>
      <c r="AN573">
        <f>IF(ISNUMBER(AJ573),IF(AJ573&gt;=0.05,1,0),"")</f>
        <v>1</v>
      </c>
      <c r="AO573">
        <f>IF(ISNUMBER(AJ573),IF(AJ573&lt;0.005,1,0),"")</f>
        <v>0</v>
      </c>
      <c r="AP573">
        <f>IFERROR(MATCH(0,AN573:AN580,0)-1,8)</f>
        <v>8</v>
      </c>
      <c r="AQ573" s="34">
        <f>IF(AP573&lt;3,"n&lt;3",IFERROR(-SLOPE(AK573:INDEX(AK573:AK580,AP573),AA573:INDEX(AA573:AA580,AP573)),"no fit"))</f>
        <v>6.3366808010485139E-3</v>
      </c>
      <c r="AR573" s="35">
        <f>IF(AP573&lt;3,"",IFERROR(RSQ(AK573:INDEX(AK573:AK580,AP573),AA573:INDEX(AA573:AA580,AP573)),"flat"))</f>
        <v>0.45330747275105748</v>
      </c>
      <c r="AS573" s="36">
        <f>IFERROR(AQ573/AI573,"")</f>
        <v>0.60851995834242156</v>
      </c>
    </row>
    <row r="574" spans="1:45" ht="57" x14ac:dyDescent="0.45">
      <c r="A574" s="1" t="s">
        <v>92</v>
      </c>
      <c r="B574" s="1" t="s">
        <v>86</v>
      </c>
      <c r="C574" s="1">
        <v>182</v>
      </c>
      <c r="D574" s="1">
        <v>444.44</v>
      </c>
      <c r="E574" s="1">
        <v>-1.3</v>
      </c>
      <c r="F574" s="1">
        <v>3.5</v>
      </c>
      <c r="G574" s="1">
        <v>3.6</v>
      </c>
      <c r="H574" s="1">
        <v>1.35</v>
      </c>
      <c r="I574" s="1">
        <v>3.29</v>
      </c>
      <c r="J574" s="1">
        <v>3.0992000000000002</v>
      </c>
      <c r="K574" s="1" t="s">
        <v>83</v>
      </c>
      <c r="N574" s="1">
        <v>13.98</v>
      </c>
      <c r="O574" s="1">
        <v>2.1000000000000001E-2</v>
      </c>
      <c r="P574" s="1">
        <v>7.45</v>
      </c>
      <c r="Q574" s="1">
        <v>40</v>
      </c>
      <c r="R574" s="1" t="s">
        <v>82</v>
      </c>
      <c r="S574" s="1">
        <v>238.11</v>
      </c>
      <c r="T574" s="1">
        <v>92</v>
      </c>
      <c r="U574" s="1">
        <v>2.08</v>
      </c>
      <c r="V574" s="1">
        <v>-6.26</v>
      </c>
      <c r="W574" s="1">
        <v>0.3</v>
      </c>
      <c r="X574" s="1">
        <f t="shared" si="63"/>
        <v>300</v>
      </c>
      <c r="Y574" s="1">
        <v>6.3</v>
      </c>
      <c r="Z574" s="1">
        <v>0.11</v>
      </c>
      <c r="AA574" s="1">
        <v>9.9015529784081107</v>
      </c>
      <c r="AC574" s="1">
        <v>25</v>
      </c>
      <c r="AD574" s="1" t="s">
        <v>93</v>
      </c>
      <c r="AE574" s="1">
        <v>5</v>
      </c>
      <c r="AH574" s="1">
        <v>0.60305346900000001</v>
      </c>
      <c r="AJ574" s="1">
        <f>IF(ISNUMBER(AH574),1-AH574,"")</f>
        <v>0.39694653099999999</v>
      </c>
      <c r="AK574" s="1">
        <f>IF(AND(ISNUMBER(AJ574),AJ574&gt;0),LN(AJ574),"")</f>
        <v>-0.92395368998511251</v>
      </c>
      <c r="AM574">
        <v>75</v>
      </c>
      <c r="AN574">
        <f>IF(ISNUMBER(AJ574),IF(AJ574&gt;=0.05,1,0),"")</f>
        <v>1</v>
      </c>
      <c r="AO574">
        <f>IF(ISNUMBER(AJ574),IF(AJ574&lt;0.005,1,0),"")</f>
        <v>0</v>
      </c>
      <c r="AQ574" s="34"/>
      <c r="AR574" s="35"/>
      <c r="AS574" s="36"/>
    </row>
    <row r="575" spans="1:45" ht="57" x14ac:dyDescent="0.45">
      <c r="A575" s="1" t="s">
        <v>92</v>
      </c>
      <c r="B575" s="1" t="s">
        <v>86</v>
      </c>
      <c r="C575" s="1">
        <v>182</v>
      </c>
      <c r="D575" s="1">
        <v>444.44</v>
      </c>
      <c r="E575" s="1">
        <v>-1.3</v>
      </c>
      <c r="F575" s="1">
        <v>3.5</v>
      </c>
      <c r="G575" s="1">
        <v>3.6</v>
      </c>
      <c r="H575" s="1">
        <v>1.35</v>
      </c>
      <c r="I575" s="1">
        <v>3.29</v>
      </c>
      <c r="J575" s="1">
        <v>3.0992000000000002</v>
      </c>
      <c r="K575" s="1" t="s">
        <v>83</v>
      </c>
      <c r="N575" s="1">
        <v>13.98</v>
      </c>
      <c r="O575" s="1">
        <v>2.1000000000000001E-2</v>
      </c>
      <c r="P575" s="1">
        <v>7.45</v>
      </c>
      <c r="Q575" s="1">
        <v>40</v>
      </c>
      <c r="R575" s="1" t="s">
        <v>82</v>
      </c>
      <c r="S575" s="1">
        <v>238.11</v>
      </c>
      <c r="T575" s="1">
        <v>92</v>
      </c>
      <c r="U575" s="1">
        <v>2.08</v>
      </c>
      <c r="V575" s="1">
        <v>-6.26</v>
      </c>
      <c r="W575" s="1">
        <v>0.3</v>
      </c>
      <c r="X575" s="1">
        <f t="shared" si="63"/>
        <v>300</v>
      </c>
      <c r="Y575" s="1">
        <v>6.3</v>
      </c>
      <c r="Z575" s="1">
        <v>0.11</v>
      </c>
      <c r="AA575" s="1">
        <v>19.703613398085</v>
      </c>
      <c r="AC575" s="1">
        <v>25</v>
      </c>
      <c r="AD575" s="1" t="s">
        <v>93</v>
      </c>
      <c r="AE575" s="1">
        <v>5</v>
      </c>
      <c r="AH575" s="1">
        <v>0.66049040000000003</v>
      </c>
      <c r="AJ575" s="1">
        <f>IF(ISNUMBER(AH575),1-AH575,"")</f>
        <v>0.33950959999999997</v>
      </c>
      <c r="AK575" s="1">
        <f>IF(AND(ISNUMBER(AJ575),AJ575&gt;0),LN(AJ575),"")</f>
        <v>-1.0802530555054084</v>
      </c>
      <c r="AM575">
        <v>75</v>
      </c>
      <c r="AN575">
        <f>IF(ISNUMBER(AJ575),IF(AJ575&gt;=0.05,1,0),"")</f>
        <v>1</v>
      </c>
      <c r="AO575">
        <f>IF(ISNUMBER(AJ575),IF(AJ575&lt;0.005,1,0),"")</f>
        <v>0</v>
      </c>
      <c r="AQ575" s="34"/>
      <c r="AR575" s="35"/>
      <c r="AS575" s="36"/>
    </row>
    <row r="576" spans="1:45" ht="57" x14ac:dyDescent="0.45">
      <c r="A576" s="1" t="s">
        <v>92</v>
      </c>
      <c r="B576" s="1" t="s">
        <v>86</v>
      </c>
      <c r="C576" s="1">
        <v>182</v>
      </c>
      <c r="D576" s="1">
        <v>444.44</v>
      </c>
      <c r="E576" s="1">
        <v>-1.3</v>
      </c>
      <c r="F576" s="1">
        <v>3.5</v>
      </c>
      <c r="G576" s="1">
        <v>3.6</v>
      </c>
      <c r="H576" s="1">
        <v>1.35</v>
      </c>
      <c r="I576" s="1">
        <v>3.29</v>
      </c>
      <c r="J576" s="1">
        <v>3.0992000000000002</v>
      </c>
      <c r="K576" s="1" t="s">
        <v>83</v>
      </c>
      <c r="N576" s="1">
        <v>13.98</v>
      </c>
      <c r="O576" s="1">
        <v>2.1000000000000001E-2</v>
      </c>
      <c r="P576" s="1">
        <v>7.45</v>
      </c>
      <c r="Q576" s="1">
        <v>40</v>
      </c>
      <c r="R576" s="1" t="s">
        <v>82</v>
      </c>
      <c r="S576" s="1">
        <v>238.11</v>
      </c>
      <c r="T576" s="1">
        <v>92</v>
      </c>
      <c r="U576" s="1">
        <v>2.08</v>
      </c>
      <c r="V576" s="1">
        <v>-6.26</v>
      </c>
      <c r="W576" s="1">
        <v>0.3</v>
      </c>
      <c r="X576" s="1">
        <f t="shared" si="63"/>
        <v>300</v>
      </c>
      <c r="Y576" s="1">
        <v>6.3</v>
      </c>
      <c r="Z576" s="1">
        <v>0.11</v>
      </c>
      <c r="AA576" s="1">
        <v>39.011346566342198</v>
      </c>
      <c r="AC576" s="1">
        <v>25</v>
      </c>
      <c r="AD576" s="1" t="s">
        <v>93</v>
      </c>
      <c r="AE576" s="1">
        <v>5</v>
      </c>
      <c r="AH576" s="1">
        <v>0.664135802</v>
      </c>
      <c r="AJ576" s="1">
        <f>IF(ISNUMBER(AH576),1-AH576,"")</f>
        <v>0.335864198</v>
      </c>
      <c r="AK576" s="1">
        <f>IF(AND(ISNUMBER(AJ576),AJ576&gt;0),LN(AJ576),"")</f>
        <v>-1.0910483733377481</v>
      </c>
      <c r="AM576">
        <v>75</v>
      </c>
      <c r="AN576">
        <f>IF(ISNUMBER(AJ576),IF(AJ576&gt;=0.05,1,0),"")</f>
        <v>1</v>
      </c>
      <c r="AO576">
        <f>IF(ISNUMBER(AJ576),IF(AJ576&lt;0.005,1,0),"")</f>
        <v>0</v>
      </c>
      <c r="AQ576" s="34"/>
      <c r="AR576" s="35"/>
      <c r="AS576" s="36"/>
    </row>
    <row r="577" spans="1:45" ht="57" x14ac:dyDescent="0.45">
      <c r="A577" s="1" t="s">
        <v>92</v>
      </c>
      <c r="B577" s="1" t="s">
        <v>86</v>
      </c>
      <c r="C577" s="1">
        <v>182</v>
      </c>
      <c r="D577" s="1">
        <v>444.44</v>
      </c>
      <c r="E577" s="1">
        <v>-1.3</v>
      </c>
      <c r="F577" s="1">
        <v>3.5</v>
      </c>
      <c r="G577" s="1">
        <v>3.6</v>
      </c>
      <c r="H577" s="1">
        <v>1.35</v>
      </c>
      <c r="I577" s="1">
        <v>3.29</v>
      </c>
      <c r="J577" s="1">
        <v>3.0992000000000002</v>
      </c>
      <c r="K577" s="1" t="s">
        <v>83</v>
      </c>
      <c r="N577" s="1">
        <v>13.98</v>
      </c>
      <c r="O577" s="1">
        <v>2.1000000000000001E-2</v>
      </c>
      <c r="P577" s="1">
        <v>7.45</v>
      </c>
      <c r="Q577" s="1">
        <v>40</v>
      </c>
      <c r="R577" s="1" t="s">
        <v>82</v>
      </c>
      <c r="S577" s="1">
        <v>238.11</v>
      </c>
      <c r="T577" s="1">
        <v>92</v>
      </c>
      <c r="U577" s="1">
        <v>2.08</v>
      </c>
      <c r="V577" s="1">
        <v>-6.26</v>
      </c>
      <c r="W577" s="1">
        <v>0.3</v>
      </c>
      <c r="X577" s="1">
        <f t="shared" si="63"/>
        <v>300</v>
      </c>
      <c r="Y577" s="1">
        <v>6.3</v>
      </c>
      <c r="Z577" s="1">
        <v>0.11</v>
      </c>
      <c r="AA577" s="1">
        <v>58.796132397305001</v>
      </c>
      <c r="AC577" s="1">
        <v>25</v>
      </c>
      <c r="AD577" s="1" t="s">
        <v>93</v>
      </c>
      <c r="AE577" s="1">
        <v>5</v>
      </c>
      <c r="AH577" s="1">
        <v>0.68862654300000004</v>
      </c>
      <c r="AJ577" s="1">
        <f>IF(ISNUMBER(AH577),1-AH577,"")</f>
        <v>0.31137345699999996</v>
      </c>
      <c r="AK577" s="1">
        <f>IF(AND(ISNUMBER(AJ577),AJ577&gt;0),LN(AJ577),"")</f>
        <v>-1.1667622608516535</v>
      </c>
      <c r="AM577">
        <v>75</v>
      </c>
      <c r="AN577">
        <f>IF(ISNUMBER(AJ577),IF(AJ577&gt;=0.05,1,0),"")</f>
        <v>1</v>
      </c>
      <c r="AO577">
        <f>IF(ISNUMBER(AJ577),IF(AJ577&lt;0.005,1,0),"")</f>
        <v>0</v>
      </c>
      <c r="AQ577" s="34"/>
      <c r="AR577" s="35"/>
      <c r="AS577" s="36"/>
    </row>
    <row r="578" spans="1:45" ht="57" x14ac:dyDescent="0.45">
      <c r="A578" s="1" t="s">
        <v>92</v>
      </c>
      <c r="B578" s="1" t="s">
        <v>86</v>
      </c>
      <c r="C578" s="1">
        <v>182</v>
      </c>
      <c r="D578" s="1">
        <v>444.44</v>
      </c>
      <c r="E578" s="1">
        <v>-1.3</v>
      </c>
      <c r="F578" s="1">
        <v>3.5</v>
      </c>
      <c r="G578" s="1">
        <v>3.6</v>
      </c>
      <c r="H578" s="1">
        <v>1.35</v>
      </c>
      <c r="I578" s="1">
        <v>3.29</v>
      </c>
      <c r="J578" s="1">
        <v>3.0992000000000002</v>
      </c>
      <c r="K578" s="1" t="s">
        <v>83</v>
      </c>
      <c r="N578" s="1">
        <v>13.98</v>
      </c>
      <c r="O578" s="1">
        <v>2.1000000000000001E-2</v>
      </c>
      <c r="P578" s="1">
        <v>7.45</v>
      </c>
      <c r="Q578" s="1">
        <v>40</v>
      </c>
      <c r="R578" s="1" t="s">
        <v>82</v>
      </c>
      <c r="S578" s="1">
        <v>238.11</v>
      </c>
      <c r="T578" s="1">
        <v>92</v>
      </c>
      <c r="U578" s="1">
        <v>2.08</v>
      </c>
      <c r="V578" s="1">
        <v>-6.26</v>
      </c>
      <c r="W578" s="1">
        <v>0.3</v>
      </c>
      <c r="X578" s="1">
        <f t="shared" si="63"/>
        <v>300</v>
      </c>
      <c r="Y578" s="1">
        <v>6.3</v>
      </c>
      <c r="Z578" s="1">
        <v>0.11</v>
      </c>
      <c r="AA578" s="1">
        <v>78.185222511648604</v>
      </c>
      <c r="AC578" s="1">
        <v>25</v>
      </c>
      <c r="AD578" s="1" t="s">
        <v>93</v>
      </c>
      <c r="AE578" s="1">
        <v>5</v>
      </c>
      <c r="AH578" s="1">
        <v>0.68046296299999998</v>
      </c>
      <c r="AJ578" s="1">
        <f>IF(ISNUMBER(AH578),1-AH578,"")</f>
        <v>0.31953703700000002</v>
      </c>
      <c r="AK578" s="1">
        <f>IF(AND(ISNUMBER(AJ578),AJ578&gt;0),LN(AJ578),"")</f>
        <v>-1.1408820901302159</v>
      </c>
      <c r="AM578">
        <v>75</v>
      </c>
      <c r="AN578">
        <f>IF(ISNUMBER(AJ578),IF(AJ578&gt;=0.05,1,0),"")</f>
        <v>1</v>
      </c>
      <c r="AO578">
        <f>IF(ISNUMBER(AJ578),IF(AJ578&lt;0.005,1,0),"")</f>
        <v>0</v>
      </c>
      <c r="AQ578" s="34"/>
      <c r="AR578" s="35"/>
      <c r="AS578" s="36"/>
    </row>
    <row r="579" spans="1:45" ht="57" x14ac:dyDescent="0.45">
      <c r="A579" s="1" t="s">
        <v>92</v>
      </c>
      <c r="B579" s="1" t="s">
        <v>86</v>
      </c>
      <c r="C579" s="1">
        <v>182</v>
      </c>
      <c r="D579" s="1">
        <v>444.44</v>
      </c>
      <c r="E579" s="1">
        <v>-1.3</v>
      </c>
      <c r="F579" s="1">
        <v>3.5</v>
      </c>
      <c r="G579" s="1">
        <v>3.6</v>
      </c>
      <c r="H579" s="1">
        <v>1.35</v>
      </c>
      <c r="I579" s="1">
        <v>3.29</v>
      </c>
      <c r="J579" s="1">
        <v>3.0992000000000002</v>
      </c>
      <c r="K579" s="1" t="s">
        <v>83</v>
      </c>
      <c r="N579" s="1">
        <v>13.98</v>
      </c>
      <c r="O579" s="1">
        <v>2.1000000000000001E-2</v>
      </c>
      <c r="P579" s="1">
        <v>7.45</v>
      </c>
      <c r="Q579" s="1">
        <v>40</v>
      </c>
      <c r="R579" s="1" t="s">
        <v>82</v>
      </c>
      <c r="S579" s="1">
        <v>238.11</v>
      </c>
      <c r="T579" s="1">
        <v>92</v>
      </c>
      <c r="U579" s="1">
        <v>2.08</v>
      </c>
      <c r="V579" s="1">
        <v>-6.26</v>
      </c>
      <c r="W579" s="1">
        <v>0.3</v>
      </c>
      <c r="X579" s="1">
        <f t="shared" si="63"/>
        <v>300</v>
      </c>
      <c r="Y579" s="1">
        <v>6.3</v>
      </c>
      <c r="Z579" s="1">
        <v>0.11</v>
      </c>
      <c r="AA579" s="1">
        <v>98.167856200920994</v>
      </c>
      <c r="AC579" s="1">
        <v>25</v>
      </c>
      <c r="AD579" s="1" t="s">
        <v>93</v>
      </c>
      <c r="AE579" s="1">
        <v>5</v>
      </c>
      <c r="AH579" s="1">
        <v>0.70495370400000001</v>
      </c>
      <c r="AJ579" s="1">
        <f>IF(ISNUMBER(AH579),1-AH579,"")</f>
        <v>0.29504629599999999</v>
      </c>
      <c r="AK579" s="1">
        <f>IF(AND(ISNUMBER(AJ579),AJ579&gt;0),LN(AJ579),"")</f>
        <v>-1.2206229993621989</v>
      </c>
      <c r="AM579">
        <v>75</v>
      </c>
      <c r="AN579">
        <f>IF(ISNUMBER(AJ579),IF(AJ579&gt;=0.05,1,0),"")</f>
        <v>1</v>
      </c>
      <c r="AO579">
        <f>IF(ISNUMBER(AJ579),IF(AJ579&lt;0.005,1,0),"")</f>
        <v>0</v>
      </c>
      <c r="AQ579" s="34"/>
      <c r="AR579" s="35"/>
      <c r="AS579" s="36"/>
    </row>
    <row r="580" spans="1:45" ht="57" x14ac:dyDescent="0.45">
      <c r="A580" s="1" t="s">
        <v>92</v>
      </c>
      <c r="B580" s="1" t="s">
        <v>86</v>
      </c>
      <c r="C580" s="1">
        <v>182</v>
      </c>
      <c r="D580" s="1">
        <v>444.44</v>
      </c>
      <c r="E580" s="1">
        <v>-1.3</v>
      </c>
      <c r="F580" s="1">
        <v>3.5</v>
      </c>
      <c r="G580" s="1">
        <v>3.6</v>
      </c>
      <c r="H580" s="1">
        <v>1.35</v>
      </c>
      <c r="I580" s="1">
        <v>3.29</v>
      </c>
      <c r="J580" s="1">
        <v>3.0992000000000002</v>
      </c>
      <c r="K580" s="1" t="s">
        <v>83</v>
      </c>
      <c r="N580" s="1">
        <v>13.98</v>
      </c>
      <c r="O580" s="1">
        <v>2.1000000000000001E-2</v>
      </c>
      <c r="P580" s="1">
        <v>7.45</v>
      </c>
      <c r="Q580" s="1">
        <v>40</v>
      </c>
      <c r="R580" s="1" t="s">
        <v>82</v>
      </c>
      <c r="S580" s="1">
        <v>238.11</v>
      </c>
      <c r="T580" s="1">
        <v>92</v>
      </c>
      <c r="U580" s="1">
        <v>2.08</v>
      </c>
      <c r="V580" s="1">
        <v>-6.26</v>
      </c>
      <c r="W580" s="1">
        <v>0.3</v>
      </c>
      <c r="X580" s="1">
        <f t="shared" ref="X580:X620" si="64">W580*1000</f>
        <v>300</v>
      </c>
      <c r="Y580" s="1">
        <v>6.3</v>
      </c>
      <c r="Z580" s="1">
        <v>0.11</v>
      </c>
      <c r="AA580" s="1">
        <v>117.754794173574</v>
      </c>
      <c r="AC580" s="1">
        <v>25</v>
      </c>
      <c r="AD580" s="1" t="s">
        <v>93</v>
      </c>
      <c r="AE580" s="1">
        <v>5</v>
      </c>
      <c r="AH580" s="1">
        <v>0.71148456800000004</v>
      </c>
      <c r="AJ580" s="1">
        <f>IF(ISNUMBER(AH580),1-AH580,"")</f>
        <v>0.28851543199999996</v>
      </c>
      <c r="AK580" s="1">
        <f>IF(AND(ISNUMBER(AJ580),AJ580&gt;0),LN(AJ580),"")</f>
        <v>-1.2430067039966093</v>
      </c>
      <c r="AM580">
        <v>75</v>
      </c>
      <c r="AN580">
        <f>IF(ISNUMBER(AJ580),IF(AJ580&gt;=0.05,1,0),"")</f>
        <v>1</v>
      </c>
      <c r="AO580">
        <f>IF(ISNUMBER(AJ580),IF(AJ580&lt;0.005,1,0),"")</f>
        <v>0</v>
      </c>
      <c r="AQ580" s="34"/>
      <c r="AR580" s="35"/>
      <c r="AS580" s="36"/>
    </row>
    <row r="581" spans="1:45" ht="57" x14ac:dyDescent="0.45">
      <c r="A581" s="1" t="s">
        <v>92</v>
      </c>
      <c r="B581" s="1" t="s">
        <v>86</v>
      </c>
      <c r="C581" s="1">
        <v>182</v>
      </c>
      <c r="D581" s="1">
        <v>444.44</v>
      </c>
      <c r="E581" s="1">
        <v>-1.3</v>
      </c>
      <c r="F581" s="1">
        <v>3.5</v>
      </c>
      <c r="G581" s="1">
        <v>3.6</v>
      </c>
      <c r="H581" s="1">
        <v>1.35</v>
      </c>
      <c r="I581" s="1">
        <v>3.29</v>
      </c>
      <c r="J581" s="1">
        <v>3.0992000000000002</v>
      </c>
      <c r="K581" s="1" t="s">
        <v>83</v>
      </c>
      <c r="N581" s="1">
        <v>13.98</v>
      </c>
      <c r="O581" s="1">
        <v>2.1000000000000001E-2</v>
      </c>
      <c r="P581" s="1">
        <v>7.45</v>
      </c>
      <c r="Q581" s="1">
        <v>40</v>
      </c>
      <c r="R581" s="1" t="s">
        <v>82</v>
      </c>
      <c r="S581" s="1">
        <v>238.11</v>
      </c>
      <c r="T581" s="1">
        <v>92</v>
      </c>
      <c r="U581" s="1">
        <v>2.08</v>
      </c>
      <c r="V581" s="1">
        <v>-6.26</v>
      </c>
      <c r="W581" s="1">
        <v>0.3</v>
      </c>
      <c r="X581" s="1">
        <f t="shared" si="64"/>
        <v>300</v>
      </c>
      <c r="Y581" s="1">
        <v>6.3</v>
      </c>
      <c r="Z581" s="1">
        <v>0.11</v>
      </c>
      <c r="AA581" s="1">
        <v>1.1127183038195501</v>
      </c>
      <c r="AC581" s="1">
        <v>25</v>
      </c>
      <c r="AD581" s="1" t="s">
        <v>93</v>
      </c>
      <c r="AE581" s="1">
        <v>10</v>
      </c>
      <c r="AH581" s="1">
        <v>2.9952446000000001E-2</v>
      </c>
      <c r="AI581" s="1">
        <v>1.0334629E-2</v>
      </c>
      <c r="AJ581" s="1">
        <f>IF(ISNUMBER(AH581),1-AH581,"")</f>
        <v>0.97004755399999998</v>
      </c>
      <c r="AK581" s="1">
        <f>IF(AND(ISNUMBER(AJ581),AJ581&gt;0),LN(AJ581),"")</f>
        <v>-3.041018394411393E-2</v>
      </c>
      <c r="AM581">
        <v>76</v>
      </c>
      <c r="AN581">
        <f>IF(ISNUMBER(AJ581),IF(AJ581&gt;=0.05,1,0),"")</f>
        <v>1</v>
      </c>
      <c r="AO581">
        <f>IF(ISNUMBER(AJ581),IF(AJ581&lt;0.005,1,0),"")</f>
        <v>0</v>
      </c>
      <c r="AP581">
        <f>IFERROR(MATCH(0,AN581:AN588,0)-1,8)</f>
        <v>8</v>
      </c>
      <c r="AQ581" s="34">
        <f>IF(AP581&lt;3,"n&lt;3",IFERROR(-SLOPE(AK581:INDEX(AK581:AK588,AP581),AA581:INDEX(AA581:AA588,AP581)),"no fit"))</f>
        <v>6.4095907668623216E-3</v>
      </c>
      <c r="AR581" s="35">
        <f>IF(AP581&lt;3,"",IFERROR(RSQ(AK581:INDEX(AK581:AK588,AP581),AA581:INDEX(AA581:AA588,AP581)),"flat"))</f>
        <v>0.46701804488013882</v>
      </c>
      <c r="AS581" s="36">
        <f>IFERROR(AQ581/AI581,"")</f>
        <v>0.62020521170738896</v>
      </c>
    </row>
    <row r="582" spans="1:45" ht="57" x14ac:dyDescent="0.45">
      <c r="A582" s="1" t="s">
        <v>92</v>
      </c>
      <c r="B582" s="1" t="s">
        <v>86</v>
      </c>
      <c r="C582" s="1">
        <v>182</v>
      </c>
      <c r="D582" s="1">
        <v>444.44</v>
      </c>
      <c r="E582" s="1">
        <v>-1.3</v>
      </c>
      <c r="F582" s="1">
        <v>3.5</v>
      </c>
      <c r="G582" s="1">
        <v>3.6</v>
      </c>
      <c r="H582" s="1">
        <v>1.35</v>
      </c>
      <c r="I582" s="1">
        <v>3.29</v>
      </c>
      <c r="J582" s="1">
        <v>3.0992000000000002</v>
      </c>
      <c r="K582" s="1" t="s">
        <v>83</v>
      </c>
      <c r="N582" s="1">
        <v>13.98</v>
      </c>
      <c r="O582" s="1">
        <v>2.1000000000000001E-2</v>
      </c>
      <c r="P582" s="1">
        <v>7.45</v>
      </c>
      <c r="Q582" s="1">
        <v>40</v>
      </c>
      <c r="R582" s="1" t="s">
        <v>82</v>
      </c>
      <c r="S582" s="1">
        <v>238.11</v>
      </c>
      <c r="T582" s="1">
        <v>92</v>
      </c>
      <c r="U582" s="1">
        <v>2.08</v>
      </c>
      <c r="V582" s="1">
        <v>-6.26</v>
      </c>
      <c r="W582" s="1">
        <v>0.3</v>
      </c>
      <c r="X582" s="1">
        <f t="shared" si="64"/>
        <v>300</v>
      </c>
      <c r="Y582" s="1">
        <v>6.3</v>
      </c>
      <c r="Z582" s="1">
        <v>0.11</v>
      </c>
      <c r="AA582" s="1">
        <v>9.6974781456028794</v>
      </c>
      <c r="AC582" s="1">
        <v>25</v>
      </c>
      <c r="AD582" s="1" t="s">
        <v>93</v>
      </c>
      <c r="AE582" s="1">
        <v>10</v>
      </c>
      <c r="AH582" s="1">
        <v>0.59640441899999996</v>
      </c>
      <c r="AJ582" s="1">
        <f>IF(ISNUMBER(AH582),1-AH582,"")</f>
        <v>0.40359558100000004</v>
      </c>
      <c r="AK582" s="1">
        <f>IF(AND(ISNUMBER(AJ582),AJ582&gt;0),LN(AJ582),"")</f>
        <v>-0.90734193952198905</v>
      </c>
      <c r="AM582">
        <v>76</v>
      </c>
      <c r="AN582">
        <f>IF(ISNUMBER(AJ582),IF(AJ582&gt;=0.05,1,0),"")</f>
        <v>1</v>
      </c>
      <c r="AO582">
        <f>IF(ISNUMBER(AJ582),IF(AJ582&lt;0.005,1,0),"")</f>
        <v>0</v>
      </c>
      <c r="AQ582" s="34"/>
      <c r="AR582" s="35"/>
      <c r="AS582" s="36"/>
    </row>
    <row r="583" spans="1:45" ht="57" x14ac:dyDescent="0.45">
      <c r="A583" s="1" t="s">
        <v>92</v>
      </c>
      <c r="B583" s="1" t="s">
        <v>86</v>
      </c>
      <c r="C583" s="1">
        <v>182</v>
      </c>
      <c r="D583" s="1">
        <v>444.44</v>
      </c>
      <c r="E583" s="1">
        <v>-1.3</v>
      </c>
      <c r="F583" s="1">
        <v>3.5</v>
      </c>
      <c r="G583" s="1">
        <v>3.6</v>
      </c>
      <c r="H583" s="1">
        <v>1.35</v>
      </c>
      <c r="I583" s="1">
        <v>3.29</v>
      </c>
      <c r="J583" s="1">
        <v>3.0992000000000002</v>
      </c>
      <c r="K583" s="1" t="s">
        <v>83</v>
      </c>
      <c r="N583" s="1">
        <v>13.98</v>
      </c>
      <c r="O583" s="1">
        <v>2.1000000000000001E-2</v>
      </c>
      <c r="P583" s="1">
        <v>7.45</v>
      </c>
      <c r="Q583" s="1">
        <v>40</v>
      </c>
      <c r="R583" s="1" t="s">
        <v>82</v>
      </c>
      <c r="S583" s="1">
        <v>238.11</v>
      </c>
      <c r="T583" s="1">
        <v>92</v>
      </c>
      <c r="U583" s="1">
        <v>2.08</v>
      </c>
      <c r="V583" s="1">
        <v>-6.26</v>
      </c>
      <c r="W583" s="1">
        <v>0.3</v>
      </c>
      <c r="X583" s="1">
        <f t="shared" si="64"/>
        <v>300</v>
      </c>
      <c r="Y583" s="1">
        <v>6.3</v>
      </c>
      <c r="Z583" s="1">
        <v>0.11</v>
      </c>
      <c r="AA583" s="1">
        <v>19.789540352844099</v>
      </c>
      <c r="AC583" s="1">
        <v>25</v>
      </c>
      <c r="AD583" s="1" t="s">
        <v>93</v>
      </c>
      <c r="AE583" s="1">
        <v>10</v>
      </c>
      <c r="AH583" s="1">
        <v>0.65144814399999995</v>
      </c>
      <c r="AJ583" s="1">
        <f>IF(ISNUMBER(AH583),1-AH583,"")</f>
        <v>0.34855185600000005</v>
      </c>
      <c r="AK583" s="1">
        <f>IF(AND(ISNUMBER(AJ583),AJ583&gt;0),LN(AJ583),"")</f>
        <v>-1.0539682621463911</v>
      </c>
      <c r="AM583">
        <v>76</v>
      </c>
      <c r="AN583">
        <f>IF(ISNUMBER(AJ583),IF(AJ583&gt;=0.05,1,0),"")</f>
        <v>1</v>
      </c>
      <c r="AO583">
        <f>IF(ISNUMBER(AJ583),IF(AJ583&lt;0.005,1,0),"")</f>
        <v>0</v>
      </c>
      <c r="AQ583" s="34"/>
      <c r="AR583" s="35"/>
      <c r="AS583" s="36"/>
    </row>
    <row r="584" spans="1:45" ht="57" x14ac:dyDescent="0.45">
      <c r="A584" s="1" t="s">
        <v>92</v>
      </c>
      <c r="B584" s="1" t="s">
        <v>86</v>
      </c>
      <c r="C584" s="1">
        <v>182</v>
      </c>
      <c r="D584" s="1">
        <v>444.44</v>
      </c>
      <c r="E584" s="1">
        <v>-1.3</v>
      </c>
      <c r="F584" s="1">
        <v>3.5</v>
      </c>
      <c r="G584" s="1">
        <v>3.6</v>
      </c>
      <c r="H584" s="1">
        <v>1.35</v>
      </c>
      <c r="I584" s="1">
        <v>3.29</v>
      </c>
      <c r="J584" s="1">
        <v>3.0992000000000002</v>
      </c>
      <c r="K584" s="1" t="s">
        <v>83</v>
      </c>
      <c r="N584" s="1">
        <v>13.98</v>
      </c>
      <c r="O584" s="1">
        <v>2.1000000000000001E-2</v>
      </c>
      <c r="P584" s="1">
        <v>7.45</v>
      </c>
      <c r="Q584" s="1">
        <v>40</v>
      </c>
      <c r="R584" s="1" t="s">
        <v>82</v>
      </c>
      <c r="S584" s="1">
        <v>238.11</v>
      </c>
      <c r="T584" s="1">
        <v>92</v>
      </c>
      <c r="U584" s="1">
        <v>2.08</v>
      </c>
      <c r="V584" s="1">
        <v>-6.26</v>
      </c>
      <c r="W584" s="1">
        <v>0.3</v>
      </c>
      <c r="X584" s="1">
        <f t="shared" si="64"/>
        <v>300</v>
      </c>
      <c r="Y584" s="1">
        <v>6.3</v>
      </c>
      <c r="Z584" s="1">
        <v>0.11</v>
      </c>
      <c r="AA584" s="1">
        <v>38.987658689607699</v>
      </c>
      <c r="AC584" s="1">
        <v>25</v>
      </c>
      <c r="AD584" s="1" t="s">
        <v>93</v>
      </c>
      <c r="AE584" s="1">
        <v>10</v>
      </c>
      <c r="AH584" s="1">
        <v>0.66915786399999999</v>
      </c>
      <c r="AJ584" s="1">
        <f>IF(ISNUMBER(AH584),1-AH584,"")</f>
        <v>0.33084213600000001</v>
      </c>
      <c r="AK584" s="1">
        <f>IF(AND(ISNUMBER(AJ584),AJ584&gt;0),LN(AJ584),"")</f>
        <v>-1.106113947886201</v>
      </c>
      <c r="AM584">
        <v>76</v>
      </c>
      <c r="AN584">
        <f>IF(ISNUMBER(AJ584),IF(AJ584&gt;=0.05,1,0),"")</f>
        <v>1</v>
      </c>
      <c r="AO584">
        <f>IF(ISNUMBER(AJ584),IF(AJ584&lt;0.005,1,0),"")</f>
        <v>0</v>
      </c>
      <c r="AQ584" s="34"/>
      <c r="AR584" s="35"/>
      <c r="AS584" s="36"/>
    </row>
    <row r="585" spans="1:45" ht="57" x14ac:dyDescent="0.45">
      <c r="A585" s="1" t="s">
        <v>92</v>
      </c>
      <c r="B585" s="1" t="s">
        <v>86</v>
      </c>
      <c r="C585" s="1">
        <v>182</v>
      </c>
      <c r="D585" s="1">
        <v>444.44</v>
      </c>
      <c r="E585" s="1">
        <v>-1.3</v>
      </c>
      <c r="F585" s="1">
        <v>3.5</v>
      </c>
      <c r="G585" s="1">
        <v>3.6</v>
      </c>
      <c r="H585" s="1">
        <v>1.35</v>
      </c>
      <c r="I585" s="1">
        <v>3.29</v>
      </c>
      <c r="J585" s="1">
        <v>3.0992000000000002</v>
      </c>
      <c r="K585" s="1" t="s">
        <v>83</v>
      </c>
      <c r="N585" s="1">
        <v>13.98</v>
      </c>
      <c r="O585" s="1">
        <v>2.1000000000000001E-2</v>
      </c>
      <c r="P585" s="1">
        <v>7.45</v>
      </c>
      <c r="Q585" s="1">
        <v>40</v>
      </c>
      <c r="R585" s="1" t="s">
        <v>82</v>
      </c>
      <c r="S585" s="1">
        <v>238.11</v>
      </c>
      <c r="T585" s="1">
        <v>92</v>
      </c>
      <c r="U585" s="1">
        <v>2.08</v>
      </c>
      <c r="V585" s="1">
        <v>-6.26</v>
      </c>
      <c r="W585" s="1">
        <v>0.3</v>
      </c>
      <c r="X585" s="1">
        <f t="shared" si="64"/>
        <v>300</v>
      </c>
      <c r="Y585" s="1">
        <v>6.3</v>
      </c>
      <c r="Z585" s="1">
        <v>0.11</v>
      </c>
      <c r="AA585" s="1">
        <v>58.823780959013099</v>
      </c>
      <c r="AC585" s="1">
        <v>25</v>
      </c>
      <c r="AD585" s="1" t="s">
        <v>93</v>
      </c>
      <c r="AE585" s="1">
        <v>10</v>
      </c>
      <c r="AH585" s="1">
        <v>0.68399573800000002</v>
      </c>
      <c r="AJ585" s="1">
        <f>IF(ISNUMBER(AH585),1-AH585,"")</f>
        <v>0.31600426199999998</v>
      </c>
      <c r="AK585" s="1">
        <f>IF(AND(ISNUMBER(AJ585),AJ585&gt;0),LN(AJ585),"")</f>
        <v>-1.1519995781444061</v>
      </c>
      <c r="AM585">
        <v>76</v>
      </c>
      <c r="AN585">
        <f>IF(ISNUMBER(AJ585),IF(AJ585&gt;=0.05,1,0),"")</f>
        <v>1</v>
      </c>
      <c r="AO585">
        <f>IF(ISNUMBER(AJ585),IF(AJ585&lt;0.005,1,0),"")</f>
        <v>0</v>
      </c>
      <c r="AQ585" s="34"/>
      <c r="AR585" s="35"/>
      <c r="AS585" s="36"/>
    </row>
    <row r="586" spans="1:45" ht="57" x14ac:dyDescent="0.45">
      <c r="A586" s="1" t="s">
        <v>92</v>
      </c>
      <c r="B586" s="1" t="s">
        <v>86</v>
      </c>
      <c r="C586" s="1">
        <v>182</v>
      </c>
      <c r="D586" s="1">
        <v>444.44</v>
      </c>
      <c r="E586" s="1">
        <v>-1.3</v>
      </c>
      <c r="F586" s="1">
        <v>3.5</v>
      </c>
      <c r="G586" s="1">
        <v>3.6</v>
      </c>
      <c r="H586" s="1">
        <v>1.35</v>
      </c>
      <c r="I586" s="1">
        <v>3.29</v>
      </c>
      <c r="J586" s="1">
        <v>3.0992000000000002</v>
      </c>
      <c r="K586" s="1" t="s">
        <v>83</v>
      </c>
      <c r="N586" s="1">
        <v>13.98</v>
      </c>
      <c r="O586" s="1">
        <v>2.1000000000000001E-2</v>
      </c>
      <c r="P586" s="1">
        <v>7.45</v>
      </c>
      <c r="Q586" s="1">
        <v>40</v>
      </c>
      <c r="R586" s="1" t="s">
        <v>82</v>
      </c>
      <c r="S586" s="1">
        <v>238.11</v>
      </c>
      <c r="T586" s="1">
        <v>92</v>
      </c>
      <c r="U586" s="1">
        <v>2.08</v>
      </c>
      <c r="V586" s="1">
        <v>-6.26</v>
      </c>
      <c r="W586" s="1">
        <v>0.3</v>
      </c>
      <c r="X586" s="1">
        <f t="shared" si="64"/>
        <v>300</v>
      </c>
      <c r="Y586" s="1">
        <v>6.3</v>
      </c>
      <c r="Z586" s="1">
        <v>0.11</v>
      </c>
      <c r="AA586" s="1">
        <v>78.4859021558797</v>
      </c>
      <c r="AC586" s="1">
        <v>25</v>
      </c>
      <c r="AD586" s="1" t="s">
        <v>93</v>
      </c>
      <c r="AE586" s="1">
        <v>10</v>
      </c>
      <c r="AH586" s="1">
        <v>0.69213263700000005</v>
      </c>
      <c r="AJ586" s="1">
        <f>IF(ISNUMBER(AH586),1-AH586,"")</f>
        <v>0.30786736299999995</v>
      </c>
      <c r="AK586" s="1">
        <f>IF(AND(ISNUMBER(AJ586),AJ586&gt;0),LN(AJ586),"")</f>
        <v>-1.1780862283708187</v>
      </c>
      <c r="AM586">
        <v>76</v>
      </c>
      <c r="AN586">
        <f>IF(ISNUMBER(AJ586),IF(AJ586&gt;=0.05,1,0),"")</f>
        <v>1</v>
      </c>
      <c r="AO586">
        <f>IF(ISNUMBER(AJ586),IF(AJ586&lt;0.005,1,0),"")</f>
        <v>0</v>
      </c>
      <c r="AQ586" s="34"/>
      <c r="AR586" s="35"/>
      <c r="AS586" s="36"/>
    </row>
    <row r="587" spans="1:45" ht="57" x14ac:dyDescent="0.45">
      <c r="A587" s="1" t="s">
        <v>92</v>
      </c>
      <c r="B587" s="1" t="s">
        <v>86</v>
      </c>
      <c r="C587" s="1">
        <v>182</v>
      </c>
      <c r="D587" s="1">
        <v>444.44</v>
      </c>
      <c r="E587" s="1">
        <v>-1.3</v>
      </c>
      <c r="F587" s="1">
        <v>3.5</v>
      </c>
      <c r="G587" s="1">
        <v>3.6</v>
      </c>
      <c r="H587" s="1">
        <v>1.35</v>
      </c>
      <c r="I587" s="1">
        <v>3.29</v>
      </c>
      <c r="J587" s="1">
        <v>3.0992000000000002</v>
      </c>
      <c r="K587" s="1" t="s">
        <v>83</v>
      </c>
      <c r="N587" s="1">
        <v>13.98</v>
      </c>
      <c r="O587" s="1">
        <v>2.1000000000000001E-2</v>
      </c>
      <c r="P587" s="1">
        <v>7.45</v>
      </c>
      <c r="Q587" s="1">
        <v>40</v>
      </c>
      <c r="R587" s="1" t="s">
        <v>82</v>
      </c>
      <c r="S587" s="1">
        <v>238.11</v>
      </c>
      <c r="T587" s="1">
        <v>92</v>
      </c>
      <c r="U587" s="1">
        <v>2.08</v>
      </c>
      <c r="V587" s="1">
        <v>-6.26</v>
      </c>
      <c r="W587" s="1">
        <v>0.3</v>
      </c>
      <c r="X587" s="1">
        <f t="shared" si="64"/>
        <v>300</v>
      </c>
      <c r="Y587" s="1">
        <v>6.3</v>
      </c>
      <c r="Z587" s="1">
        <v>0.11</v>
      </c>
      <c r="AA587" s="1">
        <v>98.090022995233497</v>
      </c>
      <c r="AC587" s="1">
        <v>25</v>
      </c>
      <c r="AD587" s="1" t="s">
        <v>93</v>
      </c>
      <c r="AE587" s="1">
        <v>10</v>
      </c>
      <c r="AH587" s="1">
        <v>0.70649186900000005</v>
      </c>
      <c r="AJ587" s="1">
        <f>IF(ISNUMBER(AH587),1-AH587,"")</f>
        <v>0.29350813099999995</v>
      </c>
      <c r="AK587" s="1">
        <f>IF(AND(ISNUMBER(AJ587),AJ587&gt;0),LN(AJ587),"")</f>
        <v>-1.2258499365202102</v>
      </c>
      <c r="AM587">
        <v>76</v>
      </c>
      <c r="AN587">
        <f>IF(ISNUMBER(AJ587),IF(AJ587&gt;=0.05,1,0),"")</f>
        <v>1</v>
      </c>
      <c r="AO587">
        <f>IF(ISNUMBER(AJ587),IF(AJ587&lt;0.005,1,0),"")</f>
        <v>0</v>
      </c>
      <c r="AQ587" s="34"/>
      <c r="AR587" s="35"/>
      <c r="AS587" s="36"/>
    </row>
    <row r="588" spans="1:45" ht="57" x14ac:dyDescent="0.45">
      <c r="A588" s="1" t="s">
        <v>92</v>
      </c>
      <c r="B588" s="1" t="s">
        <v>86</v>
      </c>
      <c r="C588" s="1">
        <v>182</v>
      </c>
      <c r="D588" s="1">
        <v>444.44</v>
      </c>
      <c r="E588" s="1">
        <v>-1.3</v>
      </c>
      <c r="F588" s="1">
        <v>3.5</v>
      </c>
      <c r="G588" s="1">
        <v>3.6</v>
      </c>
      <c r="H588" s="1">
        <v>1.35</v>
      </c>
      <c r="I588" s="1">
        <v>3.29</v>
      </c>
      <c r="J588" s="1">
        <v>3.0992000000000002</v>
      </c>
      <c r="K588" s="1" t="s">
        <v>83</v>
      </c>
      <c r="N588" s="1">
        <v>13.98</v>
      </c>
      <c r="O588" s="1">
        <v>2.1000000000000001E-2</v>
      </c>
      <c r="P588" s="1">
        <v>7.45</v>
      </c>
      <c r="Q588" s="1">
        <v>40</v>
      </c>
      <c r="R588" s="1" t="s">
        <v>82</v>
      </c>
      <c r="S588" s="1">
        <v>238.11</v>
      </c>
      <c r="T588" s="1">
        <v>92</v>
      </c>
      <c r="U588" s="1">
        <v>2.08</v>
      </c>
      <c r="V588" s="1">
        <v>-6.26</v>
      </c>
      <c r="W588" s="1">
        <v>0.3</v>
      </c>
      <c r="X588" s="1">
        <f t="shared" si="64"/>
        <v>300</v>
      </c>
      <c r="Y588" s="1">
        <v>6.3</v>
      </c>
      <c r="Z588" s="1">
        <v>0.11</v>
      </c>
      <c r="AA588" s="1">
        <v>117.57814311956101</v>
      </c>
      <c r="AC588" s="1">
        <v>25</v>
      </c>
      <c r="AD588" s="1" t="s">
        <v>93</v>
      </c>
      <c r="AE588" s="1">
        <v>10</v>
      </c>
      <c r="AH588" s="1">
        <v>0.70888507499999998</v>
      </c>
      <c r="AJ588" s="1">
        <f>IF(ISNUMBER(AH588),1-AH588,"")</f>
        <v>0.29111492500000002</v>
      </c>
      <c r="AK588" s="1">
        <f>IF(AND(ISNUMBER(AJ588),AJ588&gt;0),LN(AJ588),"")</f>
        <v>-1.2340371585039949</v>
      </c>
      <c r="AM588">
        <v>76</v>
      </c>
      <c r="AN588">
        <f>IF(ISNUMBER(AJ588),IF(AJ588&gt;=0.05,1,0),"")</f>
        <v>1</v>
      </c>
      <c r="AO588">
        <f>IF(ISNUMBER(AJ588),IF(AJ588&lt;0.005,1,0),"")</f>
        <v>0</v>
      </c>
      <c r="AQ588" s="34"/>
      <c r="AR588" s="35"/>
      <c r="AS588" s="36"/>
    </row>
    <row r="589" spans="1:45" ht="57" x14ac:dyDescent="0.45">
      <c r="A589" s="1" t="s">
        <v>94</v>
      </c>
      <c r="B589" s="1" t="s">
        <v>86</v>
      </c>
      <c r="C589" s="1">
        <v>182</v>
      </c>
      <c r="D589" s="1">
        <v>444.44</v>
      </c>
      <c r="E589" s="1">
        <v>-1.3</v>
      </c>
      <c r="F589" s="1">
        <v>3.5</v>
      </c>
      <c r="G589" s="1">
        <v>3.6</v>
      </c>
      <c r="H589" s="1">
        <v>1.35</v>
      </c>
      <c r="I589" s="1">
        <v>3.29</v>
      </c>
      <c r="J589" s="1">
        <v>3.0992000000000002</v>
      </c>
      <c r="K589" s="1" t="s">
        <v>83</v>
      </c>
      <c r="N589" s="1">
        <v>13.98</v>
      </c>
      <c r="O589" s="1">
        <v>2.1000000000000001E-2</v>
      </c>
      <c r="P589" s="1">
        <v>7.45</v>
      </c>
      <c r="Q589" s="1">
        <v>40</v>
      </c>
      <c r="R589" s="1" t="s">
        <v>82</v>
      </c>
      <c r="S589" s="1">
        <v>238.11</v>
      </c>
      <c r="T589" s="1">
        <v>92</v>
      </c>
      <c r="U589" s="1">
        <v>2.08</v>
      </c>
      <c r="V589" s="1">
        <v>-6.26</v>
      </c>
      <c r="W589" s="1">
        <v>0.3</v>
      </c>
      <c r="X589" s="1">
        <f t="shared" si="64"/>
        <v>300</v>
      </c>
      <c r="Y589" s="1">
        <v>6.3</v>
      </c>
      <c r="Z589" s="1">
        <v>0.11</v>
      </c>
      <c r="AA589" s="1">
        <v>-0.67247081995892899</v>
      </c>
      <c r="AB589" s="1" t="s">
        <v>89</v>
      </c>
      <c r="AC589" s="1">
        <v>25</v>
      </c>
      <c r="AH589" s="1">
        <v>3.3846192922285967E-2</v>
      </c>
      <c r="AI589" s="1">
        <v>1.0671473921699788E-2</v>
      </c>
      <c r="AJ589" s="1">
        <f>IF(ISNUMBER(AH589),1-AH589,"")</f>
        <v>0.96615380707771403</v>
      </c>
      <c r="AK589" s="1">
        <f>IF(AND(ISNUMBER(AJ589),AJ589&gt;0),LN(AJ589),"")</f>
        <v>-3.4432236866526147E-2</v>
      </c>
      <c r="AM589">
        <v>77</v>
      </c>
      <c r="AN589">
        <f>IF(ISNUMBER(AJ589),IF(AJ589&gt;=0.05,1,0),"")</f>
        <v>1</v>
      </c>
      <c r="AO589">
        <f>IF(ISNUMBER(AJ589),IF(AJ589&lt;0.005,1,0),"")</f>
        <v>0</v>
      </c>
      <c r="AP589">
        <f>IFERROR(MATCH(0,AN589:AN596,0)-1,8)</f>
        <v>8</v>
      </c>
      <c r="AQ589" s="34">
        <f>IF(AP589&lt;3,"n&lt;3",IFERROR(-SLOPE(AK589:INDEX(AK589:AK596,AP589),AA589:INDEX(AA589:AA596,AP589)),"no fit"))</f>
        <v>8.7317591475946903E-3</v>
      </c>
      <c r="AR589" s="35">
        <f>IF(AP589&lt;3,"",IFERROR(RSQ(AK589:INDEX(AK589:AK596,AP589),AA589:INDEX(AA589:AA596,AP589)),"flat"))</f>
        <v>0.75228214367892443</v>
      </c>
      <c r="AS589" s="36">
        <f>IFERROR(AQ589/AI589,"")</f>
        <v>0.81823365841143958</v>
      </c>
    </row>
    <row r="590" spans="1:45" ht="57" x14ac:dyDescent="0.45">
      <c r="A590" s="1" t="s">
        <v>94</v>
      </c>
      <c r="B590" s="1" t="s">
        <v>86</v>
      </c>
      <c r="C590" s="1">
        <v>182</v>
      </c>
      <c r="D590" s="1">
        <v>444.44</v>
      </c>
      <c r="E590" s="1">
        <v>-1.3</v>
      </c>
      <c r="F590" s="1">
        <v>3.5</v>
      </c>
      <c r="G590" s="1">
        <v>3.6</v>
      </c>
      <c r="H590" s="1">
        <v>1.35</v>
      </c>
      <c r="I590" s="1">
        <v>3.29</v>
      </c>
      <c r="J590" s="1">
        <v>3.0992000000000002</v>
      </c>
      <c r="K590" s="1" t="s">
        <v>83</v>
      </c>
      <c r="N590" s="1">
        <v>13.98</v>
      </c>
      <c r="O590" s="1">
        <v>2.1000000000000001E-2</v>
      </c>
      <c r="P590" s="1">
        <v>7.45</v>
      </c>
      <c r="Q590" s="1">
        <v>40</v>
      </c>
      <c r="R590" s="1" t="s">
        <v>82</v>
      </c>
      <c r="S590" s="1">
        <v>238.11</v>
      </c>
      <c r="T590" s="1">
        <v>92</v>
      </c>
      <c r="U590" s="1">
        <v>2.08</v>
      </c>
      <c r="V590" s="1">
        <v>-6.26</v>
      </c>
      <c r="W590" s="1">
        <v>0.3</v>
      </c>
      <c r="X590" s="1">
        <f t="shared" si="64"/>
        <v>300</v>
      </c>
      <c r="Y590" s="1">
        <v>6.3</v>
      </c>
      <c r="Z590" s="1">
        <v>0.11</v>
      </c>
      <c r="AA590" s="1">
        <v>9.8544794280714303</v>
      </c>
      <c r="AB590" s="1" t="s">
        <v>89</v>
      </c>
      <c r="AC590" s="1">
        <v>25</v>
      </c>
      <c r="AH590" s="1">
        <v>0.443701736724046</v>
      </c>
      <c r="AJ590" s="1">
        <f>IF(ISNUMBER(AH590),1-AH590,"")</f>
        <v>0.556298263275954</v>
      </c>
      <c r="AK590" s="1">
        <f>IF(AND(ISNUMBER(AJ590),AJ590&gt;0),LN(AJ590),"")</f>
        <v>-0.58645068382567289</v>
      </c>
      <c r="AM590">
        <v>77</v>
      </c>
      <c r="AN590">
        <f>IF(ISNUMBER(AJ590),IF(AJ590&gt;=0.05,1,0),"")</f>
        <v>1</v>
      </c>
      <c r="AO590">
        <f>IF(ISNUMBER(AJ590),IF(AJ590&lt;0.005,1,0),"")</f>
        <v>0</v>
      </c>
      <c r="AQ590" s="34"/>
      <c r="AR590" s="35"/>
      <c r="AS590" s="36"/>
    </row>
    <row r="591" spans="1:45" ht="57" x14ac:dyDescent="0.45">
      <c r="A591" s="1" t="s">
        <v>94</v>
      </c>
      <c r="B591" s="1" t="s">
        <v>86</v>
      </c>
      <c r="C591" s="1">
        <v>182</v>
      </c>
      <c r="D591" s="1">
        <v>444.44</v>
      </c>
      <c r="E591" s="1">
        <v>-1.3</v>
      </c>
      <c r="F591" s="1">
        <v>3.5</v>
      </c>
      <c r="G591" s="1">
        <v>3.6</v>
      </c>
      <c r="H591" s="1">
        <v>1.35</v>
      </c>
      <c r="I591" s="1">
        <v>3.29</v>
      </c>
      <c r="J591" s="1">
        <v>3.0992000000000002</v>
      </c>
      <c r="K591" s="1" t="s">
        <v>83</v>
      </c>
      <c r="N591" s="1">
        <v>13.98</v>
      </c>
      <c r="O591" s="1">
        <v>2.1000000000000001E-2</v>
      </c>
      <c r="P591" s="1">
        <v>7.45</v>
      </c>
      <c r="Q591" s="1">
        <v>40</v>
      </c>
      <c r="R591" s="1" t="s">
        <v>82</v>
      </c>
      <c r="S591" s="1">
        <v>238.11</v>
      </c>
      <c r="T591" s="1">
        <v>92</v>
      </c>
      <c r="U591" s="1">
        <v>2.08</v>
      </c>
      <c r="V591" s="1">
        <v>-6.26</v>
      </c>
      <c r="W591" s="1">
        <v>0.3</v>
      </c>
      <c r="X591" s="1">
        <f t="shared" si="64"/>
        <v>300</v>
      </c>
      <c r="Y591" s="1">
        <v>6.3</v>
      </c>
      <c r="Z591" s="1">
        <v>0.11</v>
      </c>
      <c r="AA591" s="1">
        <v>20.125853807995501</v>
      </c>
      <c r="AB591" s="1" t="s">
        <v>89</v>
      </c>
      <c r="AC591" s="1">
        <v>25</v>
      </c>
      <c r="AH591" s="1">
        <v>0.55653817564744101</v>
      </c>
      <c r="AJ591" s="1">
        <f>IF(ISNUMBER(AH591),1-AH591,"")</f>
        <v>0.44346182435255899</v>
      </c>
      <c r="AK591" s="1">
        <f>IF(AND(ISNUMBER(AJ591),AJ591&gt;0),LN(AJ591),"")</f>
        <v>-0.8131435590601902</v>
      </c>
      <c r="AM591">
        <v>77</v>
      </c>
      <c r="AN591">
        <f>IF(ISNUMBER(AJ591),IF(AJ591&gt;=0.05,1,0),"")</f>
        <v>1</v>
      </c>
      <c r="AO591">
        <f>IF(ISNUMBER(AJ591),IF(AJ591&lt;0.005,1,0),"")</f>
        <v>0</v>
      </c>
      <c r="AQ591" s="34"/>
      <c r="AR591" s="35"/>
      <c r="AS591" s="36"/>
    </row>
    <row r="592" spans="1:45" ht="57" x14ac:dyDescent="0.45">
      <c r="A592" s="1" t="s">
        <v>94</v>
      </c>
      <c r="B592" s="1" t="s">
        <v>86</v>
      </c>
      <c r="C592" s="1">
        <v>182</v>
      </c>
      <c r="D592" s="1">
        <v>444.44</v>
      </c>
      <c r="E592" s="1">
        <v>-1.3</v>
      </c>
      <c r="F592" s="1">
        <v>3.5</v>
      </c>
      <c r="G592" s="1">
        <v>3.6</v>
      </c>
      <c r="H592" s="1">
        <v>1.35</v>
      </c>
      <c r="I592" s="1">
        <v>3.29</v>
      </c>
      <c r="J592" s="1">
        <v>3.0992000000000002</v>
      </c>
      <c r="K592" s="1" t="s">
        <v>83</v>
      </c>
      <c r="N592" s="1">
        <v>13.98</v>
      </c>
      <c r="O592" s="1">
        <v>2.1000000000000001E-2</v>
      </c>
      <c r="P592" s="1">
        <v>7.45</v>
      </c>
      <c r="Q592" s="1">
        <v>40</v>
      </c>
      <c r="R592" s="1" t="s">
        <v>82</v>
      </c>
      <c r="S592" s="1">
        <v>238.11</v>
      </c>
      <c r="T592" s="1">
        <v>92</v>
      </c>
      <c r="U592" s="1">
        <v>2.08</v>
      </c>
      <c r="V592" s="1">
        <v>-6.26</v>
      </c>
      <c r="W592" s="1">
        <v>0.3</v>
      </c>
      <c r="X592" s="1">
        <f t="shared" si="64"/>
        <v>300</v>
      </c>
      <c r="Y592" s="1">
        <v>6.3</v>
      </c>
      <c r="Z592" s="1">
        <v>0.11</v>
      </c>
      <c r="AA592" s="1">
        <v>40.085001750802697</v>
      </c>
      <c r="AB592" s="1" t="s">
        <v>89</v>
      </c>
      <c r="AC592" s="1">
        <v>25</v>
      </c>
      <c r="AH592" s="1">
        <v>0.65177627088553602</v>
      </c>
      <c r="AJ592" s="1">
        <f>IF(ISNUMBER(AH592),1-AH592,"")</f>
        <v>0.34822372911446398</v>
      </c>
      <c r="AK592" s="1">
        <f>IF(AND(ISNUMBER(AJ592),AJ592&gt;0),LN(AJ592),"")</f>
        <v>-1.054910106024971</v>
      </c>
      <c r="AM592">
        <v>77</v>
      </c>
      <c r="AN592">
        <f>IF(ISNUMBER(AJ592),IF(AJ592&gt;=0.05,1,0),"")</f>
        <v>1</v>
      </c>
      <c r="AO592">
        <f>IF(ISNUMBER(AJ592),IF(AJ592&lt;0.005,1,0),"")</f>
        <v>0</v>
      </c>
      <c r="AQ592" s="34"/>
      <c r="AR592" s="35"/>
      <c r="AS592" s="36"/>
    </row>
    <row r="593" spans="1:45" ht="57" x14ac:dyDescent="0.45">
      <c r="A593" s="1" t="s">
        <v>94</v>
      </c>
      <c r="B593" s="1" t="s">
        <v>86</v>
      </c>
      <c r="C593" s="1">
        <v>182</v>
      </c>
      <c r="D593" s="1">
        <v>444.44</v>
      </c>
      <c r="E593" s="1">
        <v>-1.3</v>
      </c>
      <c r="F593" s="1">
        <v>3.5</v>
      </c>
      <c r="G593" s="1">
        <v>3.6</v>
      </c>
      <c r="H593" s="1">
        <v>1.35</v>
      </c>
      <c r="I593" s="1">
        <v>3.29</v>
      </c>
      <c r="J593" s="1">
        <v>3.0992000000000002</v>
      </c>
      <c r="K593" s="1" t="s">
        <v>83</v>
      </c>
      <c r="N593" s="1">
        <v>13.98</v>
      </c>
      <c r="O593" s="1">
        <v>2.1000000000000001E-2</v>
      </c>
      <c r="P593" s="1">
        <v>7.45</v>
      </c>
      <c r="Q593" s="1">
        <v>40</v>
      </c>
      <c r="R593" s="1" t="s">
        <v>82</v>
      </c>
      <c r="S593" s="1">
        <v>238.11</v>
      </c>
      <c r="T593" s="1">
        <v>92</v>
      </c>
      <c r="U593" s="1">
        <v>2.08</v>
      </c>
      <c r="V593" s="1">
        <v>-6.26</v>
      </c>
      <c r="W593" s="1">
        <v>0.3</v>
      </c>
      <c r="X593" s="1">
        <f t="shared" si="64"/>
        <v>300</v>
      </c>
      <c r="Y593" s="1">
        <v>6.3</v>
      </c>
      <c r="Z593" s="1">
        <v>0.11</v>
      </c>
      <c r="AA593" s="1">
        <v>60.394310183834399</v>
      </c>
      <c r="AB593" s="1" t="s">
        <v>89</v>
      </c>
      <c r="AC593" s="1">
        <v>25</v>
      </c>
      <c r="AH593" s="1">
        <v>0.68386736819402505</v>
      </c>
      <c r="AJ593" s="1">
        <f>IF(ISNUMBER(AH593),1-AH593,"")</f>
        <v>0.31613263180597495</v>
      </c>
      <c r="AK593" s="1">
        <f>IF(AND(ISNUMBER(AJ593),AJ593&gt;0),LN(AJ593),"")</f>
        <v>-1.1515934325484209</v>
      </c>
      <c r="AM593">
        <v>77</v>
      </c>
      <c r="AN593">
        <f>IF(ISNUMBER(AJ593),IF(AJ593&gt;=0.05,1,0),"")</f>
        <v>1</v>
      </c>
      <c r="AO593">
        <f>IF(ISNUMBER(AJ593),IF(AJ593&lt;0.005,1,0),"")</f>
        <v>0</v>
      </c>
      <c r="AQ593" s="34"/>
      <c r="AR593" s="35"/>
      <c r="AS593" s="36"/>
    </row>
    <row r="594" spans="1:45" ht="57" x14ac:dyDescent="0.45">
      <c r="A594" s="1" t="s">
        <v>94</v>
      </c>
      <c r="B594" s="1" t="s">
        <v>86</v>
      </c>
      <c r="C594" s="1">
        <v>182</v>
      </c>
      <c r="D594" s="1">
        <v>444.44</v>
      </c>
      <c r="E594" s="1">
        <v>-1.3</v>
      </c>
      <c r="F594" s="1">
        <v>3.5</v>
      </c>
      <c r="G594" s="1">
        <v>3.6</v>
      </c>
      <c r="H594" s="1">
        <v>1.35</v>
      </c>
      <c r="I594" s="1">
        <v>3.29</v>
      </c>
      <c r="J594" s="1">
        <v>3.0992000000000002</v>
      </c>
      <c r="K594" s="1" t="s">
        <v>83</v>
      </c>
      <c r="N594" s="1">
        <v>13.98</v>
      </c>
      <c r="O594" s="1">
        <v>2.1000000000000001E-2</v>
      </c>
      <c r="P594" s="1">
        <v>7.45</v>
      </c>
      <c r="Q594" s="1">
        <v>40</v>
      </c>
      <c r="R594" s="1" t="s">
        <v>82</v>
      </c>
      <c r="S594" s="1">
        <v>238.11</v>
      </c>
      <c r="T594" s="1">
        <v>92</v>
      </c>
      <c r="U594" s="1">
        <v>2.08</v>
      </c>
      <c r="V594" s="1">
        <v>-6.26</v>
      </c>
      <c r="W594" s="1">
        <v>0.3</v>
      </c>
      <c r="X594" s="1">
        <f t="shared" si="64"/>
        <v>300</v>
      </c>
      <c r="Y594" s="1">
        <v>6.3</v>
      </c>
      <c r="Z594" s="1">
        <v>0.11</v>
      </c>
      <c r="AA594" s="1">
        <v>80.236737963233395</v>
      </c>
      <c r="AB594" s="1" t="s">
        <v>89</v>
      </c>
      <c r="AC594" s="1">
        <v>25</v>
      </c>
      <c r="AH594" s="1">
        <v>0.70974728537829002</v>
      </c>
      <c r="AJ594" s="1">
        <f>IF(ISNUMBER(AH594),1-AH594,"")</f>
        <v>0.29025271462170998</v>
      </c>
      <c r="AK594" s="1">
        <f>IF(AND(ISNUMBER(AJ594),AJ594&gt;0),LN(AJ594),"")</f>
        <v>-1.2370033057460292</v>
      </c>
      <c r="AM594">
        <v>77</v>
      </c>
      <c r="AN594">
        <f>IF(ISNUMBER(AJ594),IF(AJ594&gt;=0.05,1,0),"")</f>
        <v>1</v>
      </c>
      <c r="AO594">
        <f>IF(ISNUMBER(AJ594),IF(AJ594&lt;0.005,1,0),"")</f>
        <v>0</v>
      </c>
      <c r="AQ594" s="34"/>
      <c r="AR594" s="35"/>
      <c r="AS594" s="36"/>
    </row>
    <row r="595" spans="1:45" ht="57" x14ac:dyDescent="0.45">
      <c r="A595" s="1" t="s">
        <v>94</v>
      </c>
      <c r="B595" s="1" t="s">
        <v>86</v>
      </c>
      <c r="C595" s="1">
        <v>182</v>
      </c>
      <c r="D595" s="1">
        <v>444.44</v>
      </c>
      <c r="E595" s="1">
        <v>-1.3</v>
      </c>
      <c r="F595" s="1">
        <v>3.5</v>
      </c>
      <c r="G595" s="1">
        <v>3.6</v>
      </c>
      <c r="H595" s="1">
        <v>1.35</v>
      </c>
      <c r="I595" s="1">
        <v>3.29</v>
      </c>
      <c r="J595" s="1">
        <v>3.0992000000000002</v>
      </c>
      <c r="K595" s="1" t="s">
        <v>83</v>
      </c>
      <c r="N595" s="1">
        <v>13.98</v>
      </c>
      <c r="O595" s="1">
        <v>2.1000000000000001E-2</v>
      </c>
      <c r="P595" s="1">
        <v>7.45</v>
      </c>
      <c r="Q595" s="1">
        <v>40</v>
      </c>
      <c r="R595" s="1" t="s">
        <v>82</v>
      </c>
      <c r="S595" s="1">
        <v>238.11</v>
      </c>
      <c r="T595" s="1">
        <v>92</v>
      </c>
      <c r="U595" s="1">
        <v>2.08</v>
      </c>
      <c r="V595" s="1">
        <v>-6.26</v>
      </c>
      <c r="W595" s="1">
        <v>0.3</v>
      </c>
      <c r="X595" s="1">
        <f t="shared" si="64"/>
        <v>300</v>
      </c>
      <c r="Y595" s="1">
        <v>6.3</v>
      </c>
      <c r="Z595" s="1">
        <v>0.11</v>
      </c>
      <c r="AA595" s="1">
        <v>100.31260606944799</v>
      </c>
      <c r="AB595" s="1" t="s">
        <v>89</v>
      </c>
      <c r="AC595" s="1">
        <v>25</v>
      </c>
      <c r="AH595" s="1">
        <v>0.72216964562673702</v>
      </c>
      <c r="AJ595" s="1">
        <f>IF(ISNUMBER(AH595),1-AH595,"")</f>
        <v>0.27783035437326298</v>
      </c>
      <c r="AK595" s="1">
        <f>IF(AND(ISNUMBER(AJ595),AJ595&gt;0),LN(AJ595),"")</f>
        <v>-1.2807445876287111</v>
      </c>
      <c r="AM595">
        <v>77</v>
      </c>
      <c r="AN595">
        <f>IF(ISNUMBER(AJ595),IF(AJ595&gt;=0.05,1,0),"")</f>
        <v>1</v>
      </c>
      <c r="AO595">
        <f>IF(ISNUMBER(AJ595),IF(AJ595&lt;0.005,1,0),"")</f>
        <v>0</v>
      </c>
      <c r="AQ595" s="34"/>
      <c r="AR595" s="35"/>
      <c r="AS595" s="36"/>
    </row>
    <row r="596" spans="1:45" ht="57" x14ac:dyDescent="0.45">
      <c r="A596" s="1" t="s">
        <v>94</v>
      </c>
      <c r="B596" s="1" t="s">
        <v>86</v>
      </c>
      <c r="C596" s="1">
        <v>182</v>
      </c>
      <c r="D596" s="1">
        <v>444.44</v>
      </c>
      <c r="E596" s="1">
        <v>-1.3</v>
      </c>
      <c r="F596" s="1">
        <v>3.5</v>
      </c>
      <c r="G596" s="1">
        <v>3.6</v>
      </c>
      <c r="H596" s="1">
        <v>1.35</v>
      </c>
      <c r="I596" s="1">
        <v>3.29</v>
      </c>
      <c r="J596" s="1">
        <v>3.0992000000000002</v>
      </c>
      <c r="K596" s="1" t="s">
        <v>83</v>
      </c>
      <c r="N596" s="1">
        <v>13.98</v>
      </c>
      <c r="O596" s="1">
        <v>2.1000000000000001E-2</v>
      </c>
      <c r="P596" s="1">
        <v>7.45</v>
      </c>
      <c r="Q596" s="1">
        <v>40</v>
      </c>
      <c r="R596" s="1" t="s">
        <v>82</v>
      </c>
      <c r="S596" s="1">
        <v>238.11</v>
      </c>
      <c r="T596" s="1">
        <v>92</v>
      </c>
      <c r="U596" s="1">
        <v>2.08</v>
      </c>
      <c r="V596" s="1">
        <v>-6.26</v>
      </c>
      <c r="W596" s="1">
        <v>0.3</v>
      </c>
      <c r="X596" s="1">
        <f t="shared" si="64"/>
        <v>300</v>
      </c>
      <c r="Y596" s="1">
        <v>6.3</v>
      </c>
      <c r="Z596" s="1">
        <v>0.11</v>
      </c>
      <c r="AA596" s="1">
        <v>120.03831368543899</v>
      </c>
      <c r="AB596" s="1" t="s">
        <v>89</v>
      </c>
      <c r="AC596" s="1">
        <v>25</v>
      </c>
      <c r="AH596" s="1">
        <v>0.73355680918781396</v>
      </c>
      <c r="AJ596" s="1">
        <f>IF(ISNUMBER(AH596),1-AH596,"")</f>
        <v>0.26644319081218604</v>
      </c>
      <c r="AK596" s="1">
        <f>IF(AND(ISNUMBER(AJ596),AJ596&gt;0),LN(AJ596),"")</f>
        <v>-1.3225942257838028</v>
      </c>
      <c r="AM596">
        <v>77</v>
      </c>
      <c r="AN596">
        <f>IF(ISNUMBER(AJ596),IF(AJ596&gt;=0.05,1,0),"")</f>
        <v>1</v>
      </c>
      <c r="AO596">
        <f>IF(ISNUMBER(AJ596),IF(AJ596&lt;0.005,1,0),"")</f>
        <v>0</v>
      </c>
      <c r="AQ596" s="34"/>
      <c r="AR596" s="35"/>
      <c r="AS596" s="36"/>
    </row>
    <row r="597" spans="1:45" ht="57" x14ac:dyDescent="0.45">
      <c r="A597" s="1" t="s">
        <v>94</v>
      </c>
      <c r="B597" s="1" t="s">
        <v>86</v>
      </c>
      <c r="C597" s="1">
        <v>182</v>
      </c>
      <c r="D597" s="1">
        <v>444.44</v>
      </c>
      <c r="E597" s="1">
        <v>-1.3</v>
      </c>
      <c r="F597" s="1">
        <v>3.5</v>
      </c>
      <c r="G597" s="1">
        <v>3.6</v>
      </c>
      <c r="H597" s="1">
        <v>1.35</v>
      </c>
      <c r="I597" s="1">
        <v>3.29</v>
      </c>
      <c r="J597" s="1">
        <v>3.0992000000000002</v>
      </c>
      <c r="K597" s="1" t="s">
        <v>83</v>
      </c>
      <c r="N597" s="1">
        <v>13.98</v>
      </c>
      <c r="O597" s="1">
        <v>2.1000000000000001E-2</v>
      </c>
      <c r="P597" s="1">
        <v>7.45</v>
      </c>
      <c r="Q597" s="1">
        <v>40</v>
      </c>
      <c r="R597" s="1" t="s">
        <v>82</v>
      </c>
      <c r="S597" s="1">
        <v>238.11</v>
      </c>
      <c r="T597" s="1">
        <v>92</v>
      </c>
      <c r="U597" s="1">
        <v>2.08</v>
      </c>
      <c r="V597" s="1">
        <v>-6.26</v>
      </c>
      <c r="W597" s="1">
        <v>0.3</v>
      </c>
      <c r="X597" s="1">
        <f t="shared" si="64"/>
        <v>300</v>
      </c>
      <c r="Y597" s="1">
        <v>6.3</v>
      </c>
      <c r="Z597" s="1">
        <v>0.11</v>
      </c>
      <c r="AA597" s="1">
        <v>0.96068354245716503</v>
      </c>
      <c r="AB597" s="1" t="s">
        <v>89</v>
      </c>
      <c r="AC597" s="1">
        <v>25</v>
      </c>
      <c r="AD597" s="1" t="s">
        <v>95</v>
      </c>
      <c r="AE597" s="1">
        <v>1</v>
      </c>
      <c r="AH597" s="1">
        <v>3.9277889350857964E-2</v>
      </c>
      <c r="AI597" s="1">
        <v>1.3757772541445605E-2</v>
      </c>
      <c r="AJ597" s="1">
        <f>IF(ISNUMBER(AH597),1-AH597,"")</f>
        <v>0.96072211064914204</v>
      </c>
      <c r="AK597" s="1">
        <f>IF(AND(ISNUMBER(AJ597),AJ597&gt;0),LN(AJ597),"")</f>
        <v>-4.0070078686975034E-2</v>
      </c>
      <c r="AM597">
        <v>78</v>
      </c>
      <c r="AN597">
        <f>IF(ISNUMBER(AJ597),IF(AJ597&gt;=0.05,1,0),"")</f>
        <v>1</v>
      </c>
      <c r="AO597">
        <f>IF(ISNUMBER(AJ597),IF(AJ597&lt;0.005,1,0),"")</f>
        <v>0</v>
      </c>
      <c r="AP597">
        <f>IFERROR(MATCH(0,AN597:AN604,0)-1,8)</f>
        <v>8</v>
      </c>
      <c r="AQ597" s="34">
        <f>IF(AP597&lt;3,"n&lt;3",IFERROR(-SLOPE(AK597:INDEX(AK597:AK604,AP597),AA597:INDEX(AA597:AA604,AP597)),"no fit"))</f>
        <v>1.1234433777730092E-2</v>
      </c>
      <c r="AR597" s="35">
        <f>IF(AP597&lt;3,"",IFERROR(RSQ(AK597:INDEX(AK597:AK604,AP597),AA597:INDEX(AA597:AA604,AP597)),"flat"))</f>
        <v>0.71871949952636738</v>
      </c>
      <c r="AS597" s="36">
        <f>IFERROR(AQ597/AI597,"")</f>
        <v>0.81658813182774337</v>
      </c>
    </row>
    <row r="598" spans="1:45" ht="57" x14ac:dyDescent="0.45">
      <c r="A598" s="1" t="s">
        <v>94</v>
      </c>
      <c r="B598" s="1" t="s">
        <v>86</v>
      </c>
      <c r="C598" s="1">
        <v>182</v>
      </c>
      <c r="D598" s="1">
        <v>444.44</v>
      </c>
      <c r="E598" s="1">
        <v>-1.3</v>
      </c>
      <c r="F598" s="1">
        <v>3.5</v>
      </c>
      <c r="G598" s="1">
        <v>3.6</v>
      </c>
      <c r="H598" s="1">
        <v>1.35</v>
      </c>
      <c r="I598" s="1">
        <v>3.29</v>
      </c>
      <c r="J598" s="1">
        <v>3.0992000000000002</v>
      </c>
      <c r="K598" s="1" t="s">
        <v>83</v>
      </c>
      <c r="N598" s="1">
        <v>13.98</v>
      </c>
      <c r="O598" s="1">
        <v>2.1000000000000001E-2</v>
      </c>
      <c r="P598" s="1">
        <v>7.45</v>
      </c>
      <c r="Q598" s="1">
        <v>40</v>
      </c>
      <c r="R598" s="1" t="s">
        <v>82</v>
      </c>
      <c r="S598" s="1">
        <v>238.11</v>
      </c>
      <c r="T598" s="1">
        <v>92</v>
      </c>
      <c r="U598" s="1">
        <v>2.08</v>
      </c>
      <c r="V598" s="1">
        <v>-6.26</v>
      </c>
      <c r="W598" s="1">
        <v>0.3</v>
      </c>
      <c r="X598" s="1">
        <f t="shared" si="64"/>
        <v>300</v>
      </c>
      <c r="Y598" s="1">
        <v>6.3</v>
      </c>
      <c r="Z598" s="1">
        <v>0.11</v>
      </c>
      <c r="AA598" s="1">
        <v>9.7388882404437709</v>
      </c>
      <c r="AB598" s="1" t="s">
        <v>89</v>
      </c>
      <c r="AC598" s="1">
        <v>25</v>
      </c>
      <c r="AD598" s="1" t="s">
        <v>95</v>
      </c>
      <c r="AE598" s="1">
        <v>1</v>
      </c>
      <c r="AH598" s="1">
        <v>0.56253131196990502</v>
      </c>
      <c r="AJ598" s="1">
        <f>IF(ISNUMBER(AH598),1-AH598,"")</f>
        <v>0.43746868803009498</v>
      </c>
      <c r="AK598" s="1">
        <f>IF(AND(ISNUMBER(AJ598),AJ598&gt;0),LN(AJ598),"")</f>
        <v>-0.82675014596266383</v>
      </c>
      <c r="AM598">
        <v>78</v>
      </c>
      <c r="AN598">
        <f>IF(ISNUMBER(AJ598),IF(AJ598&gt;=0.05,1,0),"")</f>
        <v>1</v>
      </c>
      <c r="AO598">
        <f>IF(ISNUMBER(AJ598),IF(AJ598&lt;0.005,1,0),"")</f>
        <v>0</v>
      </c>
      <c r="AQ598" s="34"/>
      <c r="AR598" s="35"/>
      <c r="AS598" s="36"/>
    </row>
    <row r="599" spans="1:45" ht="57" x14ac:dyDescent="0.45">
      <c r="A599" s="1" t="s">
        <v>94</v>
      </c>
      <c r="B599" s="1" t="s">
        <v>86</v>
      </c>
      <c r="C599" s="1">
        <v>182</v>
      </c>
      <c r="D599" s="1">
        <v>444.44</v>
      </c>
      <c r="E599" s="1">
        <v>-1.3</v>
      </c>
      <c r="F599" s="1">
        <v>3.5</v>
      </c>
      <c r="G599" s="1">
        <v>3.6</v>
      </c>
      <c r="H599" s="1">
        <v>1.35</v>
      </c>
      <c r="I599" s="1">
        <v>3.29</v>
      </c>
      <c r="J599" s="1">
        <v>3.0992000000000002</v>
      </c>
      <c r="K599" s="1" t="s">
        <v>83</v>
      </c>
      <c r="N599" s="1">
        <v>13.98</v>
      </c>
      <c r="O599" s="1">
        <v>2.1000000000000001E-2</v>
      </c>
      <c r="P599" s="1">
        <v>7.45</v>
      </c>
      <c r="Q599" s="1">
        <v>40</v>
      </c>
      <c r="R599" s="1" t="s">
        <v>82</v>
      </c>
      <c r="S599" s="1">
        <v>238.11</v>
      </c>
      <c r="T599" s="1">
        <v>92</v>
      </c>
      <c r="U599" s="1">
        <v>2.08</v>
      </c>
      <c r="V599" s="1">
        <v>-6.26</v>
      </c>
      <c r="W599" s="1">
        <v>0.3</v>
      </c>
      <c r="X599" s="1">
        <f t="shared" si="64"/>
        <v>300</v>
      </c>
      <c r="Y599" s="1">
        <v>6.3</v>
      </c>
      <c r="Z599" s="1">
        <v>0.11</v>
      </c>
      <c r="AA599" s="1">
        <v>19.7419587102424</v>
      </c>
      <c r="AB599" s="1" t="s">
        <v>89</v>
      </c>
      <c r="AC599" s="1">
        <v>25</v>
      </c>
      <c r="AD599" s="1" t="s">
        <v>95</v>
      </c>
      <c r="AE599" s="1">
        <v>1</v>
      </c>
      <c r="AH599" s="1">
        <v>0.611416579827047</v>
      </c>
      <c r="AJ599" s="1">
        <f>IF(ISNUMBER(AH599),1-AH599,"")</f>
        <v>0.388583420172953</v>
      </c>
      <c r="AK599" s="1">
        <f>IF(AND(ISNUMBER(AJ599),AJ599&gt;0),LN(AJ599),"")</f>
        <v>-0.94524740848437294</v>
      </c>
      <c r="AM599">
        <v>78</v>
      </c>
      <c r="AN599">
        <f>IF(ISNUMBER(AJ599),IF(AJ599&gt;=0.05,1,0),"")</f>
        <v>1</v>
      </c>
      <c r="AO599">
        <f>IF(ISNUMBER(AJ599),IF(AJ599&lt;0.005,1,0),"")</f>
        <v>0</v>
      </c>
      <c r="AQ599" s="34"/>
      <c r="AR599" s="35"/>
      <c r="AS599" s="36"/>
    </row>
    <row r="600" spans="1:45" ht="57" x14ac:dyDescent="0.45">
      <c r="A600" s="1" t="s">
        <v>94</v>
      </c>
      <c r="B600" s="1" t="s">
        <v>86</v>
      </c>
      <c r="C600" s="1">
        <v>182</v>
      </c>
      <c r="D600" s="1">
        <v>444.44</v>
      </c>
      <c r="E600" s="1">
        <v>-1.3</v>
      </c>
      <c r="F600" s="1">
        <v>3.5</v>
      </c>
      <c r="G600" s="1">
        <v>3.6</v>
      </c>
      <c r="H600" s="1">
        <v>1.35</v>
      </c>
      <c r="I600" s="1">
        <v>3.29</v>
      </c>
      <c r="J600" s="1">
        <v>3.0992000000000002</v>
      </c>
      <c r="K600" s="1" t="s">
        <v>83</v>
      </c>
      <c r="N600" s="1">
        <v>13.98</v>
      </c>
      <c r="O600" s="1">
        <v>2.1000000000000001E-2</v>
      </c>
      <c r="P600" s="1">
        <v>7.45</v>
      </c>
      <c r="Q600" s="1">
        <v>40</v>
      </c>
      <c r="R600" s="1" t="s">
        <v>82</v>
      </c>
      <c r="S600" s="1">
        <v>238.11</v>
      </c>
      <c r="T600" s="1">
        <v>92</v>
      </c>
      <c r="U600" s="1">
        <v>2.08</v>
      </c>
      <c r="V600" s="1">
        <v>-6.26</v>
      </c>
      <c r="W600" s="1">
        <v>0.3</v>
      </c>
      <c r="X600" s="1">
        <f t="shared" si="64"/>
        <v>300</v>
      </c>
      <c r="Y600" s="1">
        <v>6.3</v>
      </c>
      <c r="Z600" s="1">
        <v>0.11</v>
      </c>
      <c r="AA600" s="1">
        <v>40.156388240443803</v>
      </c>
      <c r="AB600" s="1" t="s">
        <v>89</v>
      </c>
      <c r="AC600" s="1">
        <v>25</v>
      </c>
      <c r="AD600" s="1" t="s">
        <v>95</v>
      </c>
      <c r="AE600" s="1">
        <v>1</v>
      </c>
      <c r="AH600" s="1">
        <v>0.75445125244609501</v>
      </c>
      <c r="AJ600" s="1">
        <f>IF(ISNUMBER(AH600),1-AH600,"")</f>
        <v>0.24554874755390499</v>
      </c>
      <c r="AK600" s="1">
        <f>IF(AND(ISNUMBER(AJ600),AJ600&gt;0),LN(AJ600),"")</f>
        <v>-1.4042597870844995</v>
      </c>
      <c r="AM600">
        <v>78</v>
      </c>
      <c r="AN600">
        <f>IF(ISNUMBER(AJ600),IF(AJ600&gt;=0.05,1,0),"")</f>
        <v>1</v>
      </c>
      <c r="AO600">
        <f>IF(ISNUMBER(AJ600),IF(AJ600&lt;0.005,1,0),"")</f>
        <v>0</v>
      </c>
      <c r="AQ600" s="34"/>
      <c r="AR600" s="35"/>
      <c r="AS600" s="36"/>
    </row>
    <row r="601" spans="1:45" ht="57" x14ac:dyDescent="0.45">
      <c r="A601" s="1" t="s">
        <v>94</v>
      </c>
      <c r="B601" s="1" t="s">
        <v>86</v>
      </c>
      <c r="C601" s="1">
        <v>182</v>
      </c>
      <c r="D601" s="1">
        <v>444.44</v>
      </c>
      <c r="E601" s="1">
        <v>-1.3</v>
      </c>
      <c r="F601" s="1">
        <v>3.5</v>
      </c>
      <c r="G601" s="1">
        <v>3.6</v>
      </c>
      <c r="H601" s="1">
        <v>1.35</v>
      </c>
      <c r="I601" s="1">
        <v>3.29</v>
      </c>
      <c r="J601" s="1">
        <v>3.0992000000000002</v>
      </c>
      <c r="K601" s="1" t="s">
        <v>83</v>
      </c>
      <c r="N601" s="1">
        <v>13.98</v>
      </c>
      <c r="O601" s="1">
        <v>2.1000000000000001E-2</v>
      </c>
      <c r="P601" s="1">
        <v>7.45</v>
      </c>
      <c r="Q601" s="1">
        <v>40</v>
      </c>
      <c r="R601" s="1" t="s">
        <v>82</v>
      </c>
      <c r="S601" s="1">
        <v>238.11</v>
      </c>
      <c r="T601" s="1">
        <v>92</v>
      </c>
      <c r="U601" s="1">
        <v>2.08</v>
      </c>
      <c r="V601" s="1">
        <v>-6.26</v>
      </c>
      <c r="W601" s="1">
        <v>0.3</v>
      </c>
      <c r="X601" s="1">
        <f t="shared" si="64"/>
        <v>300</v>
      </c>
      <c r="Y601" s="1">
        <v>6.3</v>
      </c>
      <c r="Z601" s="1">
        <v>0.11</v>
      </c>
      <c r="AA601" s="1">
        <v>59.958384884738997</v>
      </c>
      <c r="AB601" s="1" t="s">
        <v>89</v>
      </c>
      <c r="AC601" s="1">
        <v>25</v>
      </c>
      <c r="AD601" s="1" t="s">
        <v>95</v>
      </c>
      <c r="AE601" s="1">
        <v>1</v>
      </c>
      <c r="AH601" s="1">
        <v>0.79428369292228496</v>
      </c>
      <c r="AJ601" s="1">
        <f>IF(ISNUMBER(AH601),1-AH601,"")</f>
        <v>0.20571630707771504</v>
      </c>
      <c r="AK601" s="1">
        <f>IF(AND(ISNUMBER(AJ601),AJ601&gt;0),LN(AJ601),"")</f>
        <v>-1.5812572094434536</v>
      </c>
      <c r="AM601">
        <v>78</v>
      </c>
      <c r="AN601">
        <f>IF(ISNUMBER(AJ601),IF(AJ601&gt;=0.05,1,0),"")</f>
        <v>1</v>
      </c>
      <c r="AO601">
        <f>IF(ISNUMBER(AJ601),IF(AJ601&lt;0.005,1,0),"")</f>
        <v>0</v>
      </c>
      <c r="AQ601" s="34"/>
      <c r="AR601" s="35"/>
      <c r="AS601" s="36"/>
    </row>
    <row r="602" spans="1:45" ht="57" x14ac:dyDescent="0.45">
      <c r="A602" s="1" t="s">
        <v>94</v>
      </c>
      <c r="B602" s="1" t="s">
        <v>86</v>
      </c>
      <c r="C602" s="1">
        <v>182</v>
      </c>
      <c r="D602" s="1">
        <v>444.44</v>
      </c>
      <c r="E602" s="1">
        <v>-1.3</v>
      </c>
      <c r="F602" s="1">
        <v>3.5</v>
      </c>
      <c r="G602" s="1">
        <v>3.6</v>
      </c>
      <c r="H602" s="1">
        <v>1.35</v>
      </c>
      <c r="I602" s="1">
        <v>3.29</v>
      </c>
      <c r="J602" s="1">
        <v>3.0992000000000002</v>
      </c>
      <c r="K602" s="1" t="s">
        <v>83</v>
      </c>
      <c r="N602" s="1">
        <v>13.98</v>
      </c>
      <c r="O602" s="1">
        <v>2.1000000000000001E-2</v>
      </c>
      <c r="P602" s="1">
        <v>7.45</v>
      </c>
      <c r="Q602" s="1">
        <v>40</v>
      </c>
      <c r="R602" s="1" t="s">
        <v>82</v>
      </c>
      <c r="S602" s="1">
        <v>238.11</v>
      </c>
      <c r="T602" s="1">
        <v>92</v>
      </c>
      <c r="U602" s="1">
        <v>2.08</v>
      </c>
      <c r="V602" s="1">
        <v>-6.26</v>
      </c>
      <c r="W602" s="1">
        <v>0.3</v>
      </c>
      <c r="X602" s="1">
        <f t="shared" si="64"/>
        <v>300</v>
      </c>
      <c r="Y602" s="1">
        <v>6.3</v>
      </c>
      <c r="Z602" s="1">
        <v>0.11</v>
      </c>
      <c r="AA602" s="1">
        <v>80.168670119638406</v>
      </c>
      <c r="AB602" s="1" t="s">
        <v>89</v>
      </c>
      <c r="AC602" s="1">
        <v>25</v>
      </c>
      <c r="AD602" s="1" t="s">
        <v>95</v>
      </c>
      <c r="AE602" s="1">
        <v>1</v>
      </c>
      <c r="AH602" s="1">
        <v>0.80152595482704703</v>
      </c>
      <c r="AJ602" s="1">
        <f>IF(ISNUMBER(AH602),1-AH602,"")</f>
        <v>0.19847404517295297</v>
      </c>
      <c r="AK602" s="1">
        <f>IF(AND(ISNUMBER(AJ602),AJ602&gt;0),LN(AJ602),"")</f>
        <v>-1.6170969422002521</v>
      </c>
      <c r="AM602">
        <v>78</v>
      </c>
      <c r="AN602">
        <f>IF(ISNUMBER(AJ602),IF(AJ602&gt;=0.05,1,0),"")</f>
        <v>1</v>
      </c>
      <c r="AO602">
        <f>IF(ISNUMBER(AJ602),IF(AJ602&lt;0.005,1,0),"")</f>
        <v>0</v>
      </c>
      <c r="AQ602" s="34"/>
      <c r="AR602" s="35"/>
      <c r="AS602" s="36"/>
    </row>
    <row r="603" spans="1:45" ht="57" x14ac:dyDescent="0.45">
      <c r="A603" s="1" t="s">
        <v>94</v>
      </c>
      <c r="B603" s="1" t="s">
        <v>86</v>
      </c>
      <c r="C603" s="1">
        <v>182</v>
      </c>
      <c r="D603" s="1">
        <v>444.44</v>
      </c>
      <c r="E603" s="1">
        <v>-1.3</v>
      </c>
      <c r="F603" s="1">
        <v>3.5</v>
      </c>
      <c r="G603" s="1">
        <v>3.6</v>
      </c>
      <c r="H603" s="1">
        <v>1.35</v>
      </c>
      <c r="I603" s="1">
        <v>3.29</v>
      </c>
      <c r="J603" s="1">
        <v>3.0992000000000002</v>
      </c>
      <c r="K603" s="1" t="s">
        <v>83</v>
      </c>
      <c r="N603" s="1">
        <v>13.98</v>
      </c>
      <c r="O603" s="1">
        <v>2.1000000000000001E-2</v>
      </c>
      <c r="P603" s="1">
        <v>7.45</v>
      </c>
      <c r="Q603" s="1">
        <v>40</v>
      </c>
      <c r="R603" s="1" t="s">
        <v>82</v>
      </c>
      <c r="S603" s="1">
        <v>238.11</v>
      </c>
      <c r="T603" s="1">
        <v>92</v>
      </c>
      <c r="U603" s="1">
        <v>2.08</v>
      </c>
      <c r="V603" s="1">
        <v>-6.26</v>
      </c>
      <c r="W603" s="1">
        <v>0.3</v>
      </c>
      <c r="X603" s="1">
        <f t="shared" si="64"/>
        <v>300</v>
      </c>
      <c r="Y603" s="1">
        <v>6.3</v>
      </c>
      <c r="Z603" s="1">
        <v>0.11</v>
      </c>
      <c r="AA603" s="1">
        <v>100.378955354537</v>
      </c>
      <c r="AB603" s="1" t="s">
        <v>89</v>
      </c>
      <c r="AC603" s="1">
        <v>25</v>
      </c>
      <c r="AD603" s="1" t="s">
        <v>95</v>
      </c>
      <c r="AE603" s="1">
        <v>1</v>
      </c>
      <c r="AH603" s="1">
        <v>0.81057878220799995</v>
      </c>
      <c r="AJ603" s="1">
        <f>IF(ISNUMBER(AH603),1-AH603,"")</f>
        <v>0.18942121779200005</v>
      </c>
      <c r="AK603" s="1">
        <f>IF(AND(ISNUMBER(AJ603),AJ603&gt;0),LN(AJ603),"")</f>
        <v>-1.6637820781477262</v>
      </c>
      <c r="AM603">
        <v>78</v>
      </c>
      <c r="AN603">
        <f>IF(ISNUMBER(AJ603),IF(AJ603&gt;=0.05,1,0),"")</f>
        <v>1</v>
      </c>
      <c r="AO603">
        <f>IF(ISNUMBER(AJ603),IF(AJ603&lt;0.005,1,0),"")</f>
        <v>0</v>
      </c>
      <c r="AQ603" s="34"/>
      <c r="AR603" s="35"/>
      <c r="AS603" s="36"/>
    </row>
    <row r="604" spans="1:45" ht="57" x14ac:dyDescent="0.45">
      <c r="A604" s="1" t="s">
        <v>94</v>
      </c>
      <c r="B604" s="1" t="s">
        <v>86</v>
      </c>
      <c r="C604" s="1">
        <v>182</v>
      </c>
      <c r="D604" s="1">
        <v>444.44</v>
      </c>
      <c r="E604" s="1">
        <v>-1.3</v>
      </c>
      <c r="F604" s="1">
        <v>3.5</v>
      </c>
      <c r="G604" s="1">
        <v>3.6</v>
      </c>
      <c r="H604" s="1">
        <v>1.35</v>
      </c>
      <c r="I604" s="1">
        <v>3.29</v>
      </c>
      <c r="J604" s="1">
        <v>3.0992000000000002</v>
      </c>
      <c r="K604" s="1" t="s">
        <v>83</v>
      </c>
      <c r="N604" s="1">
        <v>13.98</v>
      </c>
      <c r="O604" s="1">
        <v>2.1000000000000001E-2</v>
      </c>
      <c r="P604" s="1">
        <v>7.45</v>
      </c>
      <c r="Q604" s="1">
        <v>40</v>
      </c>
      <c r="R604" s="1" t="s">
        <v>82</v>
      </c>
      <c r="S604" s="1">
        <v>238.11</v>
      </c>
      <c r="T604" s="1">
        <v>92</v>
      </c>
      <c r="U604" s="1">
        <v>2.08</v>
      </c>
      <c r="V604" s="1">
        <v>-6.26</v>
      </c>
      <c r="W604" s="1">
        <v>0.3</v>
      </c>
      <c r="X604" s="1">
        <f t="shared" si="64"/>
        <v>300</v>
      </c>
      <c r="Y604" s="1">
        <v>6.3</v>
      </c>
      <c r="Z604" s="1">
        <v>0.11</v>
      </c>
      <c r="AA604" s="1">
        <v>120.385096294135</v>
      </c>
      <c r="AB604" s="1" t="s">
        <v>89</v>
      </c>
      <c r="AC604" s="1">
        <v>25</v>
      </c>
      <c r="AD604" s="1" t="s">
        <v>95</v>
      </c>
      <c r="AE604" s="1">
        <v>1</v>
      </c>
      <c r="AH604" s="1">
        <v>0.81419991316038098</v>
      </c>
      <c r="AJ604" s="1">
        <f>IF(ISNUMBER(AH604),1-AH604,"")</f>
        <v>0.18580008683961902</v>
      </c>
      <c r="AK604" s="1">
        <f>IF(AND(ISNUMBER(AJ604),AJ604&gt;0),LN(AJ604),"")</f>
        <v>-1.6830839852202744</v>
      </c>
      <c r="AM604">
        <v>78</v>
      </c>
      <c r="AN604">
        <f>IF(ISNUMBER(AJ604),IF(AJ604&gt;=0.05,1,0),"")</f>
        <v>1</v>
      </c>
      <c r="AO604">
        <f>IF(ISNUMBER(AJ604),IF(AJ604&lt;0.005,1,0),"")</f>
        <v>0</v>
      </c>
      <c r="AQ604" s="34"/>
      <c r="AR604" s="35"/>
      <c r="AS604" s="36"/>
    </row>
    <row r="605" spans="1:45" ht="57" x14ac:dyDescent="0.45">
      <c r="A605" s="1" t="s">
        <v>94</v>
      </c>
      <c r="B605" s="1" t="s">
        <v>86</v>
      </c>
      <c r="C605" s="1">
        <v>182</v>
      </c>
      <c r="D605" s="1">
        <v>444.44</v>
      </c>
      <c r="E605" s="1">
        <v>-1.3</v>
      </c>
      <c r="F605" s="1">
        <v>3.5</v>
      </c>
      <c r="G605" s="1">
        <v>3.6</v>
      </c>
      <c r="H605" s="1">
        <v>1.35</v>
      </c>
      <c r="I605" s="1">
        <v>3.29</v>
      </c>
      <c r="J605" s="1">
        <v>3.0992000000000002</v>
      </c>
      <c r="K605" s="1" t="s">
        <v>83</v>
      </c>
      <c r="N605" s="1">
        <v>13.98</v>
      </c>
      <c r="O605" s="1">
        <v>2.1000000000000001E-2</v>
      </c>
      <c r="P605" s="1">
        <v>7.45</v>
      </c>
      <c r="Q605" s="1">
        <v>40</v>
      </c>
      <c r="R605" s="1" t="s">
        <v>82</v>
      </c>
      <c r="S605" s="1">
        <v>238.11</v>
      </c>
      <c r="T605" s="1">
        <v>92</v>
      </c>
      <c r="U605" s="1">
        <v>2.08</v>
      </c>
      <c r="V605" s="1">
        <v>-6.26</v>
      </c>
      <c r="W605" s="1">
        <v>0.3</v>
      </c>
      <c r="X605" s="1">
        <f t="shared" si="64"/>
        <v>300</v>
      </c>
      <c r="Y605" s="1">
        <v>6.3</v>
      </c>
      <c r="Z605" s="1">
        <v>0.11</v>
      </c>
      <c r="AA605" s="1">
        <v>6.6600000000000006E-2</v>
      </c>
      <c r="AB605" s="1" t="s">
        <v>89</v>
      </c>
      <c r="AC605" s="1">
        <v>25</v>
      </c>
      <c r="AD605" s="1" t="s">
        <v>95</v>
      </c>
      <c r="AE605" s="1">
        <v>5</v>
      </c>
      <c r="AH605" s="1">
        <v>5.1951847684191033E-2</v>
      </c>
      <c r="AI605" s="1">
        <v>1.5677095509915695E-2</v>
      </c>
      <c r="AJ605" s="1">
        <f>IF(ISNUMBER(AH605),1-AH605,"")</f>
        <v>0.94804815231580897</v>
      </c>
      <c r="AK605" s="1">
        <f>IF(AND(ISNUMBER(AJ605),AJ605&gt;0),LN(AJ605),"")</f>
        <v>-5.334998443498859E-2</v>
      </c>
      <c r="AM605">
        <v>79</v>
      </c>
      <c r="AN605">
        <f>IF(ISNUMBER(AJ605),IF(AJ605&gt;=0.05,1,0),"")</f>
        <v>1</v>
      </c>
      <c r="AO605">
        <f>IF(ISNUMBER(AJ605),IF(AJ605&lt;0.005,1,0),"")</f>
        <v>0</v>
      </c>
      <c r="AP605">
        <f>IFERROR(MATCH(0,AN605:AN612,0)-1,8)</f>
        <v>8</v>
      </c>
      <c r="AQ605" s="34">
        <f>IF(AP605&lt;3,"n&lt;3",IFERROR(-SLOPE(AK605:INDEX(AK605:AK612,AP605),AA605:INDEX(AA605:AA612,AP605)),"no fit"))</f>
        <v>1.015470315256029E-2</v>
      </c>
      <c r="AR605" s="35">
        <f>IF(AP605&lt;3,"",IFERROR(RSQ(AK605:INDEX(AK605:AK612,AP605),AA605:INDEX(AA605:AA612,AP605)),"flat"))</f>
        <v>0.54092680288106898</v>
      </c>
      <c r="AS605" s="36">
        <f>IFERROR(AQ605/AI605,"")</f>
        <v>0.64774135911447905</v>
      </c>
    </row>
    <row r="606" spans="1:45" ht="57" x14ac:dyDescent="0.45">
      <c r="A606" s="1" t="s">
        <v>94</v>
      </c>
      <c r="B606" s="1" t="s">
        <v>86</v>
      </c>
      <c r="C606" s="1">
        <v>182</v>
      </c>
      <c r="D606" s="1">
        <v>444.44</v>
      </c>
      <c r="E606" s="1">
        <v>-1.3</v>
      </c>
      <c r="F606" s="1">
        <v>3.5</v>
      </c>
      <c r="G606" s="1">
        <v>3.6</v>
      </c>
      <c r="H606" s="1">
        <v>1.35</v>
      </c>
      <c r="I606" s="1">
        <v>3.29</v>
      </c>
      <c r="J606" s="1">
        <v>3.0992000000000002</v>
      </c>
      <c r="K606" s="1" t="s">
        <v>83</v>
      </c>
      <c r="N606" s="1">
        <v>13.98</v>
      </c>
      <c r="O606" s="1">
        <v>2.1000000000000001E-2</v>
      </c>
      <c r="P606" s="1">
        <v>7.45</v>
      </c>
      <c r="Q606" s="1">
        <v>40</v>
      </c>
      <c r="R606" s="1" t="s">
        <v>82</v>
      </c>
      <c r="S606" s="1">
        <v>238.11</v>
      </c>
      <c r="T606" s="1">
        <v>92</v>
      </c>
      <c r="U606" s="1">
        <v>2.08</v>
      </c>
      <c r="V606" s="1">
        <v>-6.26</v>
      </c>
      <c r="W606" s="1">
        <v>0.3</v>
      </c>
      <c r="X606" s="1">
        <f t="shared" si="64"/>
        <v>300</v>
      </c>
      <c r="Y606" s="1">
        <v>6.3</v>
      </c>
      <c r="Z606" s="1">
        <v>0.11</v>
      </c>
      <c r="AA606" s="1">
        <v>9.1264553545377396</v>
      </c>
      <c r="AB606" s="1" t="s">
        <v>89</v>
      </c>
      <c r="AC606" s="1">
        <v>25</v>
      </c>
      <c r="AD606" s="1" t="s">
        <v>95</v>
      </c>
      <c r="AE606" s="1">
        <v>5</v>
      </c>
      <c r="AH606" s="1">
        <v>0.74901955601752401</v>
      </c>
      <c r="AJ606" s="1">
        <f>IF(ISNUMBER(AH606),1-AH606,"")</f>
        <v>0.25098044398247599</v>
      </c>
      <c r="AK606" s="1">
        <f>IF(AND(ISNUMBER(AJ606),AJ606&gt;0),LN(AJ606),"")</f>
        <v>-1.3823802553060978</v>
      </c>
      <c r="AM606">
        <v>79</v>
      </c>
      <c r="AN606">
        <f>IF(ISNUMBER(AJ606),IF(AJ606&gt;=0.05,1,0),"")</f>
        <v>1</v>
      </c>
      <c r="AO606">
        <f>IF(ISNUMBER(AJ606),IF(AJ606&lt;0.005,1,0),"")</f>
        <v>0</v>
      </c>
      <c r="AQ606" s="34"/>
      <c r="AR606" s="35"/>
      <c r="AS606" s="36"/>
    </row>
    <row r="607" spans="1:45" ht="57" x14ac:dyDescent="0.45">
      <c r="A607" s="1" t="s">
        <v>94</v>
      </c>
      <c r="B607" s="1" t="s">
        <v>86</v>
      </c>
      <c r="C607" s="1">
        <v>182</v>
      </c>
      <c r="D607" s="1">
        <v>444.44</v>
      </c>
      <c r="E607" s="1">
        <v>-1.3</v>
      </c>
      <c r="F607" s="1">
        <v>3.5</v>
      </c>
      <c r="G607" s="1">
        <v>3.6</v>
      </c>
      <c r="H607" s="1">
        <v>1.35</v>
      </c>
      <c r="I607" s="1">
        <v>3.29</v>
      </c>
      <c r="J607" s="1">
        <v>3.0992000000000002</v>
      </c>
      <c r="K607" s="1" t="s">
        <v>83</v>
      </c>
      <c r="N607" s="1">
        <v>13.98</v>
      </c>
      <c r="O607" s="1">
        <v>2.1000000000000001E-2</v>
      </c>
      <c r="P607" s="1">
        <v>7.45</v>
      </c>
      <c r="Q607" s="1">
        <v>40</v>
      </c>
      <c r="R607" s="1" t="s">
        <v>82</v>
      </c>
      <c r="S607" s="1">
        <v>238.11</v>
      </c>
      <c r="T607" s="1">
        <v>92</v>
      </c>
      <c r="U607" s="1">
        <v>2.08</v>
      </c>
      <c r="V607" s="1">
        <v>-6.26</v>
      </c>
      <c r="W607" s="1">
        <v>0.3</v>
      </c>
      <c r="X607" s="1">
        <f t="shared" si="64"/>
        <v>300</v>
      </c>
      <c r="Y607" s="1">
        <v>6.3</v>
      </c>
      <c r="Z607" s="1">
        <v>0.11</v>
      </c>
      <c r="AA607" s="1">
        <v>19.946103005544401</v>
      </c>
      <c r="AB607" s="1" t="s">
        <v>89</v>
      </c>
      <c r="AC607" s="1">
        <v>25</v>
      </c>
      <c r="AD607" s="1" t="s">
        <v>95</v>
      </c>
      <c r="AE607" s="1">
        <v>5</v>
      </c>
      <c r="AH607" s="1">
        <v>0.76169351435085697</v>
      </c>
      <c r="AJ607" s="1">
        <f>IF(ISNUMBER(AH607),1-AH607,"")</f>
        <v>0.23830648564914303</v>
      </c>
      <c r="AK607" s="1">
        <f>IF(AND(ISNUMBER(AJ607),AJ607&gt;0),LN(AJ607),"")</f>
        <v>-1.4341976789274327</v>
      </c>
      <c r="AM607">
        <v>79</v>
      </c>
      <c r="AN607">
        <f>IF(ISNUMBER(AJ607),IF(AJ607&gt;=0.05,1,0),"")</f>
        <v>1</v>
      </c>
      <c r="AO607">
        <f>IF(ISNUMBER(AJ607),IF(AJ607&lt;0.005,1,0),"")</f>
        <v>0</v>
      </c>
      <c r="AQ607" s="34"/>
      <c r="AR607" s="35"/>
      <c r="AS607" s="36"/>
    </row>
    <row r="608" spans="1:45" ht="57" x14ac:dyDescent="0.45">
      <c r="A608" s="1" t="s">
        <v>94</v>
      </c>
      <c r="B608" s="1" t="s">
        <v>86</v>
      </c>
      <c r="C608" s="1">
        <v>182</v>
      </c>
      <c r="D608" s="1">
        <v>444.44</v>
      </c>
      <c r="E608" s="1">
        <v>-1.3</v>
      </c>
      <c r="F608" s="1">
        <v>3.5</v>
      </c>
      <c r="G608" s="1">
        <v>3.6</v>
      </c>
      <c r="H608" s="1">
        <v>1.35</v>
      </c>
      <c r="I608" s="1">
        <v>3.29</v>
      </c>
      <c r="J608" s="1">
        <v>3.0992000000000002</v>
      </c>
      <c r="K608" s="1" t="s">
        <v>83</v>
      </c>
      <c r="N608" s="1">
        <v>13.98</v>
      </c>
      <c r="O608" s="1">
        <v>2.1000000000000001E-2</v>
      </c>
      <c r="P608" s="1">
        <v>7.45</v>
      </c>
      <c r="Q608" s="1">
        <v>40</v>
      </c>
      <c r="R608" s="1" t="s">
        <v>82</v>
      </c>
      <c r="S608" s="1">
        <v>238.11</v>
      </c>
      <c r="T608" s="1">
        <v>92</v>
      </c>
      <c r="U608" s="1">
        <v>2.08</v>
      </c>
      <c r="V608" s="1">
        <v>-6.26</v>
      </c>
      <c r="W608" s="1">
        <v>0.3</v>
      </c>
      <c r="X608" s="1">
        <f t="shared" si="64"/>
        <v>300</v>
      </c>
      <c r="Y608" s="1">
        <v>6.3</v>
      </c>
      <c r="Z608" s="1">
        <v>0.11</v>
      </c>
      <c r="AA608" s="1">
        <v>40.052445631746799</v>
      </c>
      <c r="AB608" s="1" t="s">
        <v>89</v>
      </c>
      <c r="AC608" s="1">
        <v>25</v>
      </c>
      <c r="AD608" s="1" t="s">
        <v>95</v>
      </c>
      <c r="AE608" s="1">
        <v>5</v>
      </c>
      <c r="AH608" s="1">
        <v>0.81050521215848004</v>
      </c>
      <c r="AJ608" s="1">
        <f>IF(ISNUMBER(AH608),1-AH608,"")</f>
        <v>0.18949478784151996</v>
      </c>
      <c r="AK608" s="1">
        <f>IF(AND(ISNUMBER(AJ608),AJ608&gt;0),LN(AJ608),"")</f>
        <v>-1.6633937596320096</v>
      </c>
      <c r="AM608">
        <v>79</v>
      </c>
      <c r="AN608">
        <f>IF(ISNUMBER(AJ608),IF(AJ608&gt;=0.05,1,0),"")</f>
        <v>1</v>
      </c>
      <c r="AO608">
        <f>IF(ISNUMBER(AJ608),IF(AJ608&lt;0.005,1,0),"")</f>
        <v>0</v>
      </c>
      <c r="AQ608" s="34"/>
      <c r="AR608" s="35"/>
      <c r="AS608" s="36"/>
    </row>
    <row r="609" spans="1:45" ht="57" x14ac:dyDescent="0.45">
      <c r="A609" s="1" t="s">
        <v>94</v>
      </c>
      <c r="B609" s="1" t="s">
        <v>86</v>
      </c>
      <c r="C609" s="1">
        <v>182</v>
      </c>
      <c r="D609" s="1">
        <v>444.44</v>
      </c>
      <c r="E609" s="1">
        <v>-1.3</v>
      </c>
      <c r="F609" s="1">
        <v>3.5</v>
      </c>
      <c r="G609" s="1">
        <v>3.6</v>
      </c>
      <c r="H609" s="1">
        <v>1.35</v>
      </c>
      <c r="I609" s="1">
        <v>3.29</v>
      </c>
      <c r="J609" s="1">
        <v>3.0992000000000002</v>
      </c>
      <c r="K609" s="1" t="s">
        <v>83</v>
      </c>
      <c r="N609" s="1">
        <v>13.98</v>
      </c>
      <c r="O609" s="1">
        <v>2.1000000000000001E-2</v>
      </c>
      <c r="P609" s="1">
        <v>7.45</v>
      </c>
      <c r="Q609" s="1">
        <v>40</v>
      </c>
      <c r="R609" s="1" t="s">
        <v>82</v>
      </c>
      <c r="S609" s="1">
        <v>238.11</v>
      </c>
      <c r="T609" s="1">
        <v>92</v>
      </c>
      <c r="U609" s="1">
        <v>2.08</v>
      </c>
      <c r="V609" s="1">
        <v>-6.26</v>
      </c>
      <c r="W609" s="1">
        <v>0.3</v>
      </c>
      <c r="X609" s="1">
        <f t="shared" si="64"/>
        <v>300</v>
      </c>
      <c r="Y609" s="1">
        <v>6.3</v>
      </c>
      <c r="Z609" s="1">
        <v>0.11</v>
      </c>
      <c r="AA609" s="1">
        <v>60.162529180040998</v>
      </c>
      <c r="AB609" s="1" t="s">
        <v>89</v>
      </c>
      <c r="AC609" s="1">
        <v>25</v>
      </c>
      <c r="AD609" s="1" t="s">
        <v>95</v>
      </c>
      <c r="AE609" s="1">
        <v>5</v>
      </c>
      <c r="AH609" s="1">
        <v>0.82325274054133302</v>
      </c>
      <c r="AJ609" s="1">
        <f>IF(ISNUMBER(AH609),1-AH609,"")</f>
        <v>0.17674725945866698</v>
      </c>
      <c r="AK609" s="1">
        <f>IF(AND(ISNUMBER(AJ609),AJ609&gt;0),LN(AJ609),"")</f>
        <v>-1.7330344795100068</v>
      </c>
      <c r="AM609">
        <v>79</v>
      </c>
      <c r="AN609">
        <f>IF(ISNUMBER(AJ609),IF(AJ609&gt;=0.05,1,0),"")</f>
        <v>1</v>
      </c>
      <c r="AO609">
        <f>IF(ISNUMBER(AJ609),IF(AJ609&lt;0.005,1,0),"")</f>
        <v>0</v>
      </c>
      <c r="AQ609" s="34"/>
      <c r="AR609" s="35"/>
      <c r="AS609" s="36"/>
    </row>
    <row r="610" spans="1:45" ht="57" x14ac:dyDescent="0.45">
      <c r="A610" s="1" t="s">
        <v>94</v>
      </c>
      <c r="B610" s="1" t="s">
        <v>86</v>
      </c>
      <c r="C610" s="1">
        <v>182</v>
      </c>
      <c r="D610" s="1">
        <v>444.44</v>
      </c>
      <c r="E610" s="1">
        <v>-1.3</v>
      </c>
      <c r="F610" s="1">
        <v>3.5</v>
      </c>
      <c r="G610" s="1">
        <v>3.6</v>
      </c>
      <c r="H610" s="1">
        <v>1.35</v>
      </c>
      <c r="I610" s="1">
        <v>3.29</v>
      </c>
      <c r="J610" s="1">
        <v>3.0992000000000002</v>
      </c>
      <c r="K610" s="1" t="s">
        <v>83</v>
      </c>
      <c r="N610" s="1">
        <v>13.98</v>
      </c>
      <c r="O610" s="1">
        <v>2.1000000000000001E-2</v>
      </c>
      <c r="P610" s="1">
        <v>7.45</v>
      </c>
      <c r="Q610" s="1">
        <v>40</v>
      </c>
      <c r="R610" s="1" t="s">
        <v>82</v>
      </c>
      <c r="S610" s="1">
        <v>238.11</v>
      </c>
      <c r="T610" s="1">
        <v>92</v>
      </c>
      <c r="U610" s="1">
        <v>2.08</v>
      </c>
      <c r="V610" s="1">
        <v>-6.26</v>
      </c>
      <c r="W610" s="1">
        <v>0.3</v>
      </c>
      <c r="X610" s="1">
        <f t="shared" si="64"/>
        <v>300</v>
      </c>
      <c r="Y610" s="1">
        <v>6.3</v>
      </c>
      <c r="Z610" s="1">
        <v>0.11</v>
      </c>
      <c r="AA610" s="1">
        <v>80.168670119638406</v>
      </c>
      <c r="AB610" s="1" t="s">
        <v>89</v>
      </c>
      <c r="AC610" s="1">
        <v>25</v>
      </c>
      <c r="AD610" s="1" t="s">
        <v>95</v>
      </c>
      <c r="AE610" s="1">
        <v>5</v>
      </c>
      <c r="AH610" s="1">
        <v>0.82868443696990501</v>
      </c>
      <c r="AJ610" s="1">
        <f>IF(ISNUMBER(AH610),1-AH610,"")</f>
        <v>0.17131556303009499</v>
      </c>
      <c r="AK610" s="1">
        <f>IF(AND(ISNUMBER(AJ610),AJ610&gt;0),LN(AJ610),"")</f>
        <v>-1.7642480252973176</v>
      </c>
      <c r="AM610">
        <v>79</v>
      </c>
      <c r="AN610">
        <f>IF(ISNUMBER(AJ610),IF(AJ610&gt;=0.05,1,0),"")</f>
        <v>1</v>
      </c>
      <c r="AO610">
        <f>IF(ISNUMBER(AJ610),IF(AJ610&lt;0.005,1,0),"")</f>
        <v>0</v>
      </c>
      <c r="AQ610" s="34"/>
      <c r="AR610" s="35"/>
      <c r="AS610" s="36"/>
    </row>
    <row r="611" spans="1:45" ht="57" x14ac:dyDescent="0.45">
      <c r="A611" s="1" t="s">
        <v>94</v>
      </c>
      <c r="B611" s="1" t="s">
        <v>86</v>
      </c>
      <c r="C611" s="1">
        <v>182</v>
      </c>
      <c r="D611" s="1">
        <v>444.44</v>
      </c>
      <c r="E611" s="1">
        <v>-1.3</v>
      </c>
      <c r="F611" s="1">
        <v>3.5</v>
      </c>
      <c r="G611" s="1">
        <v>3.6</v>
      </c>
      <c r="H611" s="1">
        <v>1.35</v>
      </c>
      <c r="I611" s="1">
        <v>3.29</v>
      </c>
      <c r="J611" s="1">
        <v>3.0992000000000002</v>
      </c>
      <c r="K611" s="1" t="s">
        <v>83</v>
      </c>
      <c r="N611" s="1">
        <v>13.98</v>
      </c>
      <c r="O611" s="1">
        <v>2.1000000000000001E-2</v>
      </c>
      <c r="P611" s="1">
        <v>7.45</v>
      </c>
      <c r="Q611" s="1">
        <v>40</v>
      </c>
      <c r="R611" s="1" t="s">
        <v>82</v>
      </c>
      <c r="S611" s="1">
        <v>238.11</v>
      </c>
      <c r="T611" s="1">
        <v>92</v>
      </c>
      <c r="U611" s="1">
        <v>2.08</v>
      </c>
      <c r="V611" s="1">
        <v>-6.26</v>
      </c>
      <c r="W611" s="1">
        <v>0.3</v>
      </c>
      <c r="X611" s="1">
        <f t="shared" si="64"/>
        <v>300</v>
      </c>
      <c r="Y611" s="1">
        <v>6.3</v>
      </c>
      <c r="Z611" s="1">
        <v>0.11</v>
      </c>
      <c r="AA611" s="1">
        <v>100.481027502188</v>
      </c>
      <c r="AB611" s="1" t="s">
        <v>89</v>
      </c>
      <c r="AC611" s="1">
        <v>25</v>
      </c>
      <c r="AD611" s="1" t="s">
        <v>95</v>
      </c>
      <c r="AE611" s="1">
        <v>5</v>
      </c>
      <c r="AH611" s="1">
        <v>0.84525111107704698</v>
      </c>
      <c r="AJ611" s="1">
        <f>IF(ISNUMBER(AH611),1-AH611,"")</f>
        <v>0.15474888892295302</v>
      </c>
      <c r="AK611" s="1">
        <f>IF(AND(ISNUMBER(AJ611),AJ611&gt;0),LN(AJ611),"")</f>
        <v>-1.8659515472625732</v>
      </c>
      <c r="AM611">
        <v>79</v>
      </c>
      <c r="AN611">
        <f>IF(ISNUMBER(AJ611),IF(AJ611&gt;=0.05,1,0),"")</f>
        <v>1</v>
      </c>
      <c r="AO611">
        <f>IF(ISNUMBER(AJ611),IF(AJ611&lt;0.005,1,0),"")</f>
        <v>0</v>
      </c>
      <c r="AQ611" s="34"/>
      <c r="AR611" s="35"/>
      <c r="AS611" s="36"/>
    </row>
    <row r="612" spans="1:45" ht="57" x14ac:dyDescent="0.45">
      <c r="A612" s="1" t="s">
        <v>94</v>
      </c>
      <c r="B612" s="1" t="s">
        <v>86</v>
      </c>
      <c r="C612" s="1">
        <v>182</v>
      </c>
      <c r="D612" s="1">
        <v>444.44</v>
      </c>
      <c r="E612" s="1">
        <v>-1.3</v>
      </c>
      <c r="F612" s="1">
        <v>3.5</v>
      </c>
      <c r="G612" s="1">
        <v>3.6</v>
      </c>
      <c r="H612" s="1">
        <v>1.35</v>
      </c>
      <c r="I612" s="1">
        <v>3.29</v>
      </c>
      <c r="J612" s="1">
        <v>3.0992000000000002</v>
      </c>
      <c r="K612" s="1" t="s">
        <v>83</v>
      </c>
      <c r="N612" s="1">
        <v>13.98</v>
      </c>
      <c r="O612" s="1">
        <v>2.1000000000000001E-2</v>
      </c>
      <c r="P612" s="1">
        <v>7.45</v>
      </c>
      <c r="Q612" s="1">
        <v>40</v>
      </c>
      <c r="R612" s="1" t="s">
        <v>82</v>
      </c>
      <c r="S612" s="1">
        <v>238.11</v>
      </c>
      <c r="T612" s="1">
        <v>92</v>
      </c>
      <c r="U612" s="1">
        <v>2.08</v>
      </c>
      <c r="V612" s="1">
        <v>-6.26</v>
      </c>
      <c r="W612" s="1">
        <v>0.3</v>
      </c>
      <c r="X612" s="1">
        <f t="shared" si="64"/>
        <v>300</v>
      </c>
      <c r="Y612" s="1">
        <v>6.3</v>
      </c>
      <c r="Z612" s="1">
        <v>0.11</v>
      </c>
      <c r="AA612" s="1">
        <v>120.32813622105</v>
      </c>
      <c r="AB612" s="1" t="s">
        <v>89</v>
      </c>
      <c r="AC612" s="1">
        <v>25</v>
      </c>
      <c r="AD612" s="1" t="s">
        <v>95</v>
      </c>
      <c r="AE612" s="1">
        <v>5</v>
      </c>
      <c r="AH612" s="1">
        <v>0.85610934008078199</v>
      </c>
      <c r="AJ612" s="1">
        <f>IF(ISNUMBER(AH612),1-AH612,"")</f>
        <v>0.14389065991921801</v>
      </c>
      <c r="AK612" s="1">
        <f>IF(AND(ISNUMBER(AJ612),AJ612&gt;0),LN(AJ612),"")</f>
        <v>-1.9387015739415754</v>
      </c>
      <c r="AM612">
        <v>79</v>
      </c>
      <c r="AN612">
        <f>IF(ISNUMBER(AJ612),IF(AJ612&gt;=0.05,1,0),"")</f>
        <v>1</v>
      </c>
      <c r="AO612">
        <f>IF(ISNUMBER(AJ612),IF(AJ612&lt;0.005,1,0),"")</f>
        <v>0</v>
      </c>
      <c r="AQ612" s="34"/>
      <c r="AR612" s="35"/>
      <c r="AS612" s="36"/>
    </row>
    <row r="613" spans="1:45" ht="57" x14ac:dyDescent="0.45">
      <c r="A613" s="1" t="s">
        <v>94</v>
      </c>
      <c r="B613" s="1" t="s">
        <v>86</v>
      </c>
      <c r="C613" s="1">
        <v>182</v>
      </c>
      <c r="D613" s="1">
        <v>444.44</v>
      </c>
      <c r="E613" s="1">
        <v>-1.3</v>
      </c>
      <c r="F613" s="1">
        <v>3.5</v>
      </c>
      <c r="G613" s="1">
        <v>3.6</v>
      </c>
      <c r="H613" s="1">
        <v>1.35</v>
      </c>
      <c r="I613" s="1">
        <v>3.29</v>
      </c>
      <c r="J613" s="1">
        <v>3.0992000000000002</v>
      </c>
      <c r="K613" s="1" t="s">
        <v>83</v>
      </c>
      <c r="N613" s="1">
        <v>13.98</v>
      </c>
      <c r="O613" s="1">
        <v>2.1000000000000001E-2</v>
      </c>
      <c r="P613" s="1">
        <v>7.45</v>
      </c>
      <c r="Q613" s="1">
        <v>40</v>
      </c>
      <c r="R613" s="1" t="s">
        <v>82</v>
      </c>
      <c r="S613" s="1">
        <v>238.11</v>
      </c>
      <c r="T613" s="1">
        <v>92</v>
      </c>
      <c r="U613" s="1">
        <v>2.08</v>
      </c>
      <c r="V613" s="1">
        <v>-6.26</v>
      </c>
      <c r="W613" s="1">
        <v>0.3</v>
      </c>
      <c r="X613" s="1">
        <f t="shared" si="64"/>
        <v>300</v>
      </c>
      <c r="Y613" s="1">
        <v>6.3</v>
      </c>
      <c r="Z613" s="1">
        <v>0.11</v>
      </c>
      <c r="AA613" s="1">
        <v>1.40980099212156</v>
      </c>
      <c r="AB613" s="1" t="s">
        <v>89</v>
      </c>
      <c r="AC613" s="1">
        <v>25</v>
      </c>
      <c r="AD613" s="1" t="s">
        <v>95</v>
      </c>
      <c r="AE613" s="1">
        <v>10</v>
      </c>
      <c r="AH613" s="1">
        <v>5.1951847684191033E-2</v>
      </c>
      <c r="AI613" s="1">
        <v>1.645160087655316E-2</v>
      </c>
      <c r="AJ613" s="1">
        <f>IF(ISNUMBER(AH613),1-AH613,"")</f>
        <v>0.94804815231580897</v>
      </c>
      <c r="AK613" s="1">
        <f>IF(AND(ISNUMBER(AJ613),AJ613&gt;0),LN(AJ613),"")</f>
        <v>-5.334998443498859E-2</v>
      </c>
      <c r="AM613">
        <v>80</v>
      </c>
      <c r="AN613">
        <f>IF(ISNUMBER(AJ613),IF(AJ613&gt;=0.05,1,0),"")</f>
        <v>1</v>
      </c>
      <c r="AO613">
        <f>IF(ISNUMBER(AJ613),IF(AJ613&lt;0.005,1,0),"")</f>
        <v>0</v>
      </c>
      <c r="AP613">
        <f>IFERROR(MATCH(0,AN613:AN620,0)-1,8)</f>
        <v>8</v>
      </c>
      <c r="AQ613" s="34">
        <f>IF(AP613&lt;3,"n&lt;3",IFERROR(-SLOPE(AK613:INDEX(AK613:AK620,AP613),AA613:INDEX(AA613:AA620,AP613)),"no fit"))</f>
        <v>1.0548021883550973E-2</v>
      </c>
      <c r="AR613" s="35">
        <f>IF(AP613&lt;3,"",IFERROR(RSQ(AK613:INDEX(AK613:AK620,AP613),AA613:INDEX(AA613:AA620,AP613)),"flat"))</f>
        <v>0.49029300953536659</v>
      </c>
      <c r="AS613" s="36">
        <f>IFERROR(AQ613/AI613,"")</f>
        <v>0.64115474005839912</v>
      </c>
    </row>
    <row r="614" spans="1:45" ht="57" x14ac:dyDescent="0.45">
      <c r="A614" s="1" t="s">
        <v>94</v>
      </c>
      <c r="B614" s="1" t="s">
        <v>86</v>
      </c>
      <c r="C614" s="1">
        <v>182</v>
      </c>
      <c r="D614" s="1">
        <v>444.44</v>
      </c>
      <c r="E614" s="1">
        <v>-1.3</v>
      </c>
      <c r="F614" s="1">
        <v>3.5</v>
      </c>
      <c r="G614" s="1">
        <v>3.6</v>
      </c>
      <c r="H614" s="1">
        <v>1.35</v>
      </c>
      <c r="I614" s="1">
        <v>3.29</v>
      </c>
      <c r="J614" s="1">
        <v>3.0992000000000002</v>
      </c>
      <c r="K614" s="1" t="s">
        <v>83</v>
      </c>
      <c r="N614" s="1">
        <v>13.98</v>
      </c>
      <c r="O614" s="1">
        <v>2.1000000000000001E-2</v>
      </c>
      <c r="P614" s="1">
        <v>7.45</v>
      </c>
      <c r="Q614" s="1">
        <v>40</v>
      </c>
      <c r="R614" s="1" t="s">
        <v>82</v>
      </c>
      <c r="S614" s="1">
        <v>238.11</v>
      </c>
      <c r="T614" s="1">
        <v>92</v>
      </c>
      <c r="U614" s="1">
        <v>2.08</v>
      </c>
      <c r="V614" s="1">
        <v>-6.26</v>
      </c>
      <c r="W614" s="1">
        <v>0.3</v>
      </c>
      <c r="X614" s="1">
        <f t="shared" si="64"/>
        <v>300</v>
      </c>
      <c r="Y614" s="1">
        <v>6.3</v>
      </c>
      <c r="Z614" s="1">
        <v>0.11</v>
      </c>
      <c r="AA614" s="1">
        <v>9.8915026091880893</v>
      </c>
      <c r="AB614" s="1" t="s">
        <v>89</v>
      </c>
      <c r="AC614" s="1">
        <v>25</v>
      </c>
      <c r="AD614" s="1" t="s">
        <v>95</v>
      </c>
      <c r="AE614" s="1">
        <v>10</v>
      </c>
      <c r="AH614" s="1">
        <v>0.745161984090705</v>
      </c>
      <c r="AJ614" s="1">
        <f>IF(ISNUMBER(AH614),1-AH614,"")</f>
        <v>0.254838015909295</v>
      </c>
      <c r="AK614" s="1">
        <f>IF(AND(ISNUMBER(AJ614),AJ614&gt;0),LN(AJ614),"")</f>
        <v>-1.3671271673971235</v>
      </c>
      <c r="AM614">
        <v>80</v>
      </c>
      <c r="AN614">
        <f>IF(ISNUMBER(AJ614),IF(AJ614&gt;=0.05,1,0),"")</f>
        <v>1</v>
      </c>
      <c r="AO614">
        <f>IF(ISNUMBER(AJ614),IF(AJ614&lt;0.005,1,0),"")</f>
        <v>0</v>
      </c>
      <c r="AQ614" s="34"/>
      <c r="AR614" s="35"/>
      <c r="AS614" s="36"/>
    </row>
    <row r="615" spans="1:45" ht="57" x14ac:dyDescent="0.45">
      <c r="A615" s="1" t="s">
        <v>94</v>
      </c>
      <c r="B615" s="1" t="s">
        <v>86</v>
      </c>
      <c r="C615" s="1">
        <v>182</v>
      </c>
      <c r="D615" s="1">
        <v>444.44</v>
      </c>
      <c r="E615" s="1">
        <v>-1.3</v>
      </c>
      <c r="F615" s="1">
        <v>3.5</v>
      </c>
      <c r="G615" s="1">
        <v>3.6</v>
      </c>
      <c r="H615" s="1">
        <v>1.35</v>
      </c>
      <c r="I615" s="1">
        <v>3.29</v>
      </c>
      <c r="J615" s="1">
        <v>3.0992000000000002</v>
      </c>
      <c r="K615" s="1" t="s">
        <v>83</v>
      </c>
      <c r="N615" s="1">
        <v>13.98</v>
      </c>
      <c r="O615" s="1">
        <v>2.1000000000000001E-2</v>
      </c>
      <c r="P615" s="1">
        <v>7.45</v>
      </c>
      <c r="Q615" s="1">
        <v>40</v>
      </c>
      <c r="R615" s="1" t="s">
        <v>82</v>
      </c>
      <c r="S615" s="1">
        <v>238.11</v>
      </c>
      <c r="T615" s="1">
        <v>92</v>
      </c>
      <c r="U615" s="1">
        <v>2.08</v>
      </c>
      <c r="V615" s="1">
        <v>-6.26</v>
      </c>
      <c r="W615" s="1">
        <v>0.3</v>
      </c>
      <c r="X615" s="1">
        <f t="shared" si="64"/>
        <v>300</v>
      </c>
      <c r="Y615" s="1">
        <v>6.3</v>
      </c>
      <c r="Z615" s="1">
        <v>0.11</v>
      </c>
      <c r="AA615" s="1">
        <v>20.0218956854673</v>
      </c>
      <c r="AB615" s="1" t="s">
        <v>89</v>
      </c>
      <c r="AC615" s="1">
        <v>25</v>
      </c>
      <c r="AD615" s="1" t="s">
        <v>95</v>
      </c>
      <c r="AE615" s="1">
        <v>10</v>
      </c>
      <c r="AH615" s="1">
        <v>0.82275706742118804</v>
      </c>
      <c r="AJ615" s="1">
        <f>IF(ISNUMBER(AH615),1-AH615,"")</f>
        <v>0.17724293257881196</v>
      </c>
      <c r="AK615" s="1">
        <f>IF(AND(ISNUMBER(AJ615),AJ615&gt;0),LN(AJ615),"")</f>
        <v>-1.7302339869808456</v>
      </c>
      <c r="AM615">
        <v>80</v>
      </c>
      <c r="AN615">
        <f>IF(ISNUMBER(AJ615),IF(AJ615&gt;=0.05,1,0),"")</f>
        <v>1</v>
      </c>
      <c r="AO615">
        <f>IF(ISNUMBER(AJ615),IF(AJ615&lt;0.005,1,0),"")</f>
        <v>0</v>
      </c>
      <c r="AQ615" s="34"/>
      <c r="AR615" s="35"/>
      <c r="AS615" s="36"/>
    </row>
    <row r="616" spans="1:45" ht="57" x14ac:dyDescent="0.45">
      <c r="A616" s="1" t="s">
        <v>94</v>
      </c>
      <c r="B616" s="1" t="s">
        <v>86</v>
      </c>
      <c r="C616" s="1">
        <v>182</v>
      </c>
      <c r="D616" s="1">
        <v>444.44</v>
      </c>
      <c r="E616" s="1">
        <v>-1.3</v>
      </c>
      <c r="F616" s="1">
        <v>3.5</v>
      </c>
      <c r="G616" s="1">
        <v>3.6</v>
      </c>
      <c r="H616" s="1">
        <v>1.35</v>
      </c>
      <c r="I616" s="1">
        <v>3.29</v>
      </c>
      <c r="J616" s="1">
        <v>3.0992000000000002</v>
      </c>
      <c r="K616" s="1" t="s">
        <v>83</v>
      </c>
      <c r="N616" s="1">
        <v>13.98</v>
      </c>
      <c r="O616" s="1">
        <v>2.1000000000000001E-2</v>
      </c>
      <c r="P616" s="1">
        <v>7.45</v>
      </c>
      <c r="Q616" s="1">
        <v>40</v>
      </c>
      <c r="R616" s="1" t="s">
        <v>82</v>
      </c>
      <c r="S616" s="1">
        <v>238.11</v>
      </c>
      <c r="T616" s="1">
        <v>92</v>
      </c>
      <c r="U616" s="1">
        <v>2.08</v>
      </c>
      <c r="V616" s="1">
        <v>-6.26</v>
      </c>
      <c r="W616" s="1">
        <v>0.3</v>
      </c>
      <c r="X616" s="1">
        <f t="shared" si="64"/>
        <v>300</v>
      </c>
      <c r="Y616" s="1">
        <v>6.3</v>
      </c>
      <c r="Z616" s="1">
        <v>0.11</v>
      </c>
      <c r="AA616" s="1">
        <v>40.146181025678601</v>
      </c>
      <c r="AB616" s="1" t="s">
        <v>89</v>
      </c>
      <c r="AC616" s="1">
        <v>25</v>
      </c>
      <c r="AD616" s="1" t="s">
        <v>95</v>
      </c>
      <c r="AE616" s="1">
        <v>10</v>
      </c>
      <c r="AH616" s="1">
        <v>0.83900466018419007</v>
      </c>
      <c r="AJ616" s="1">
        <f>IF(ISNUMBER(AH616),1-AH616,"")</f>
        <v>0.16099533981580993</v>
      </c>
      <c r="AK616" s="1">
        <f>IF(AND(ISNUMBER(AJ616),AJ616&gt;0),LN(AJ616),"")</f>
        <v>-1.8263798596600123</v>
      </c>
      <c r="AM616">
        <v>80</v>
      </c>
      <c r="AN616">
        <f>IF(ISNUMBER(AJ616),IF(AJ616&gt;=0.05,1,0),"")</f>
        <v>1</v>
      </c>
      <c r="AO616">
        <f>IF(ISNUMBER(AJ616),IF(AJ616&lt;0.005,1,0),"")</f>
        <v>0</v>
      </c>
      <c r="AQ616" s="34"/>
      <c r="AR616" s="35"/>
      <c r="AS616" s="36"/>
    </row>
    <row r="617" spans="1:45" ht="57" x14ac:dyDescent="0.45">
      <c r="A617" s="1" t="s">
        <v>94</v>
      </c>
      <c r="B617" s="1" t="s">
        <v>86</v>
      </c>
      <c r="C617" s="1">
        <v>182</v>
      </c>
      <c r="D617" s="1">
        <v>444.44</v>
      </c>
      <c r="E617" s="1">
        <v>-1.3</v>
      </c>
      <c r="F617" s="1">
        <v>3.5</v>
      </c>
      <c r="G617" s="1">
        <v>3.6</v>
      </c>
      <c r="H617" s="1">
        <v>1.35</v>
      </c>
      <c r="I617" s="1">
        <v>3.29</v>
      </c>
      <c r="J617" s="1">
        <v>3.0992000000000002</v>
      </c>
      <c r="K617" s="1" t="s">
        <v>83</v>
      </c>
      <c r="N617" s="1">
        <v>13.98</v>
      </c>
      <c r="O617" s="1">
        <v>2.1000000000000001E-2</v>
      </c>
      <c r="P617" s="1">
        <v>7.45</v>
      </c>
      <c r="Q617" s="1">
        <v>40</v>
      </c>
      <c r="R617" s="1" t="s">
        <v>82</v>
      </c>
      <c r="S617" s="1">
        <v>238.11</v>
      </c>
      <c r="T617" s="1">
        <v>92</v>
      </c>
      <c r="U617" s="1">
        <v>2.08</v>
      </c>
      <c r="V617" s="1">
        <v>-6.26</v>
      </c>
      <c r="W617" s="1">
        <v>0.3</v>
      </c>
      <c r="X617" s="1">
        <f t="shared" si="64"/>
        <v>300</v>
      </c>
      <c r="Y617" s="1">
        <v>6.3</v>
      </c>
      <c r="Z617" s="1">
        <v>0.11</v>
      </c>
      <c r="AA617" s="1">
        <v>60.0829955780262</v>
      </c>
      <c r="AB617" s="1" t="s">
        <v>89</v>
      </c>
      <c r="AC617" s="1">
        <v>25</v>
      </c>
      <c r="AD617" s="1" t="s">
        <v>95</v>
      </c>
      <c r="AE617" s="1">
        <v>10</v>
      </c>
      <c r="AH617" s="1">
        <v>0.83977353306383806</v>
      </c>
      <c r="AJ617" s="1">
        <f>IF(ISNUMBER(AH617),1-AH617,"")</f>
        <v>0.16022646693616194</v>
      </c>
      <c r="AK617" s="1">
        <f>IF(AND(ISNUMBER(AJ617),AJ617&gt;0),LN(AJ617),"")</f>
        <v>-1.8311670461576339</v>
      </c>
      <c r="AM617">
        <v>80</v>
      </c>
      <c r="AN617">
        <f>IF(ISNUMBER(AJ617),IF(AJ617&gt;=0.05,1,0),"")</f>
        <v>1</v>
      </c>
      <c r="AO617">
        <f>IF(ISNUMBER(AJ617),IF(AJ617&lt;0.005,1,0),"")</f>
        <v>0</v>
      </c>
      <c r="AQ617" s="34"/>
      <c r="AR617" s="35"/>
      <c r="AS617" s="36"/>
    </row>
    <row r="618" spans="1:45" ht="57" x14ac:dyDescent="0.45">
      <c r="A618" s="1" t="s">
        <v>94</v>
      </c>
      <c r="B618" s="1" t="s">
        <v>86</v>
      </c>
      <c r="C618" s="1">
        <v>182</v>
      </c>
      <c r="D618" s="1">
        <v>444.44</v>
      </c>
      <c r="E618" s="1">
        <v>-1.3</v>
      </c>
      <c r="F618" s="1">
        <v>3.5</v>
      </c>
      <c r="G618" s="1">
        <v>3.6</v>
      </c>
      <c r="H618" s="1">
        <v>1.35</v>
      </c>
      <c r="I618" s="1">
        <v>3.29</v>
      </c>
      <c r="J618" s="1">
        <v>3.0992000000000002</v>
      </c>
      <c r="K618" s="1" t="s">
        <v>83</v>
      </c>
      <c r="N618" s="1">
        <v>13.98</v>
      </c>
      <c r="O618" s="1">
        <v>2.1000000000000001E-2</v>
      </c>
      <c r="P618" s="1">
        <v>7.45</v>
      </c>
      <c r="Q618" s="1">
        <v>40</v>
      </c>
      <c r="R618" s="1" t="s">
        <v>82</v>
      </c>
      <c r="S618" s="1">
        <v>238.11</v>
      </c>
      <c r="T618" s="1">
        <v>92</v>
      </c>
      <c r="U618" s="1">
        <v>2.08</v>
      </c>
      <c r="V618" s="1">
        <v>-6.26</v>
      </c>
      <c r="W618" s="1">
        <v>0.3</v>
      </c>
      <c r="X618" s="1">
        <f t="shared" si="64"/>
        <v>300</v>
      </c>
      <c r="Y618" s="1">
        <v>6.3</v>
      </c>
      <c r="Z618" s="1">
        <v>0.11</v>
      </c>
      <c r="AA618" s="1">
        <v>80.113545524305593</v>
      </c>
      <c r="AB618" s="1" t="s">
        <v>89</v>
      </c>
      <c r="AC618" s="1">
        <v>25</v>
      </c>
      <c r="AD618" s="1" t="s">
        <v>95</v>
      </c>
      <c r="AE618" s="1">
        <v>10</v>
      </c>
      <c r="AH618" s="1">
        <v>0.85610934008078199</v>
      </c>
      <c r="AJ618" s="1">
        <f>IF(ISNUMBER(AH618),1-AH618,"")</f>
        <v>0.14389065991921801</v>
      </c>
      <c r="AK618" s="1">
        <f>IF(AND(ISNUMBER(AJ618),AJ618&gt;0),LN(AJ618),"")</f>
        <v>-1.9387015739415754</v>
      </c>
      <c r="AM618">
        <v>80</v>
      </c>
      <c r="AN618">
        <f>IF(ISNUMBER(AJ618),IF(AJ618&gt;=0.05,1,0),"")</f>
        <v>1</v>
      </c>
      <c r="AO618">
        <f>IF(ISNUMBER(AJ618),IF(AJ618&lt;0.005,1,0),"")</f>
        <v>0</v>
      </c>
      <c r="AQ618" s="34"/>
      <c r="AR618" s="35"/>
      <c r="AS618" s="36"/>
    </row>
    <row r="619" spans="1:45" ht="57" x14ac:dyDescent="0.45">
      <c r="A619" s="1" t="s">
        <v>94</v>
      </c>
      <c r="B619" s="1" t="s">
        <v>86</v>
      </c>
      <c r="C619" s="1">
        <v>182</v>
      </c>
      <c r="D619" s="1">
        <v>444.44</v>
      </c>
      <c r="E619" s="1">
        <v>-1.3</v>
      </c>
      <c r="F619" s="1">
        <v>3.5</v>
      </c>
      <c r="G619" s="1">
        <v>3.6</v>
      </c>
      <c r="H619" s="1">
        <v>1.35</v>
      </c>
      <c r="I619" s="1">
        <v>3.29</v>
      </c>
      <c r="J619" s="1">
        <v>3.0992000000000002</v>
      </c>
      <c r="K619" s="1" t="s">
        <v>83</v>
      </c>
      <c r="N619" s="1">
        <v>13.98</v>
      </c>
      <c r="O619" s="1">
        <v>2.1000000000000001E-2</v>
      </c>
      <c r="P619" s="1">
        <v>7.45</v>
      </c>
      <c r="Q619" s="1">
        <v>40</v>
      </c>
      <c r="R619" s="1" t="s">
        <v>82</v>
      </c>
      <c r="S619" s="1">
        <v>238.11</v>
      </c>
      <c r="T619" s="1">
        <v>92</v>
      </c>
      <c r="U619" s="1">
        <v>2.08</v>
      </c>
      <c r="V619" s="1">
        <v>-6.26</v>
      </c>
      <c r="W619" s="1">
        <v>0.3</v>
      </c>
      <c r="X619" s="1">
        <f t="shared" si="64"/>
        <v>300</v>
      </c>
      <c r="Y619" s="1">
        <v>6.3</v>
      </c>
      <c r="Z619" s="1">
        <v>0.11</v>
      </c>
      <c r="AA619" s="1">
        <v>100.246261562591</v>
      </c>
      <c r="AB619" s="1" t="s">
        <v>89</v>
      </c>
      <c r="AC619" s="1">
        <v>25</v>
      </c>
      <c r="AD619" s="1" t="s">
        <v>95</v>
      </c>
      <c r="AE619" s="1">
        <v>10</v>
      </c>
      <c r="AH619" s="1">
        <v>0.86607261405323799</v>
      </c>
      <c r="AJ619" s="1">
        <f>IF(ISNUMBER(AH619),1-AH619,"")</f>
        <v>0.13392738594676201</v>
      </c>
      <c r="AK619" s="1">
        <f>IF(AND(ISNUMBER(AJ619),AJ619&gt;0),LN(AJ619),"")</f>
        <v>-2.0104575218295704</v>
      </c>
      <c r="AM619">
        <v>80</v>
      </c>
      <c r="AN619">
        <f>IF(ISNUMBER(AJ619),IF(AJ619&gt;=0.05,1,0),"")</f>
        <v>1</v>
      </c>
      <c r="AO619">
        <f>IF(ISNUMBER(AJ619),IF(AJ619&lt;0.005,1,0),"")</f>
        <v>0</v>
      </c>
      <c r="AQ619" s="34"/>
      <c r="AR619" s="35"/>
      <c r="AS619" s="36"/>
    </row>
    <row r="620" spans="1:45" ht="57" x14ac:dyDescent="0.45">
      <c r="A620" s="1" t="s">
        <v>94</v>
      </c>
      <c r="B620" s="1" t="s">
        <v>86</v>
      </c>
      <c r="C620" s="1">
        <v>182</v>
      </c>
      <c r="D620" s="1">
        <v>444.44</v>
      </c>
      <c r="E620" s="1">
        <v>-1.3</v>
      </c>
      <c r="F620" s="1">
        <v>3.5</v>
      </c>
      <c r="G620" s="1">
        <v>3.6</v>
      </c>
      <c r="H620" s="1">
        <v>1.35</v>
      </c>
      <c r="I620" s="1">
        <v>3.29</v>
      </c>
      <c r="J620" s="1">
        <v>3.0992000000000002</v>
      </c>
      <c r="K620" s="1" t="s">
        <v>83</v>
      </c>
      <c r="N620" s="1">
        <v>13.98</v>
      </c>
      <c r="O620" s="1">
        <v>2.1000000000000001E-2</v>
      </c>
      <c r="P620" s="1">
        <v>7.45</v>
      </c>
      <c r="Q620" s="1">
        <v>40</v>
      </c>
      <c r="R620" s="1" t="s">
        <v>82</v>
      </c>
      <c r="S620" s="1">
        <v>238.11</v>
      </c>
      <c r="T620" s="1">
        <v>92</v>
      </c>
      <c r="U620" s="1">
        <v>2.08</v>
      </c>
      <c r="V620" s="1">
        <v>-6.26</v>
      </c>
      <c r="W620" s="1">
        <v>0.3</v>
      </c>
      <c r="X620" s="1">
        <f t="shared" si="64"/>
        <v>300</v>
      </c>
      <c r="Y620" s="1">
        <v>6.3</v>
      </c>
      <c r="Z620" s="1">
        <v>0.11</v>
      </c>
      <c r="AA620" s="1">
        <v>120.174645416864</v>
      </c>
      <c r="AB620" s="1" t="s">
        <v>89</v>
      </c>
      <c r="AC620" s="1">
        <v>25</v>
      </c>
      <c r="AD620" s="1" t="s">
        <v>95</v>
      </c>
      <c r="AE620" s="1">
        <v>10</v>
      </c>
      <c r="AH620" s="1">
        <v>0.86563856084066504</v>
      </c>
      <c r="AJ620" s="1">
        <f>IF(ISNUMBER(AH620),1-AH620,"")</f>
        <v>0.13436143915933496</v>
      </c>
      <c r="AK620" s="1">
        <f>IF(AND(ISNUMBER(AJ620),AJ620&gt;0),LN(AJ620),"")</f>
        <v>-2.007221803076781</v>
      </c>
      <c r="AM620">
        <v>80</v>
      </c>
      <c r="AN620">
        <f>IF(ISNUMBER(AJ620),IF(AJ620&gt;=0.05,1,0),"")</f>
        <v>1</v>
      </c>
      <c r="AO620">
        <f>IF(ISNUMBER(AJ620),IF(AJ620&lt;0.005,1,0),"")</f>
        <v>0</v>
      </c>
      <c r="AQ620" s="34"/>
      <c r="AR620" s="35"/>
      <c r="AS620" s="36"/>
    </row>
  </sheetData>
  <phoneticPr fontId="2" type="noConversion"/>
  <conditionalFormatting sqref="AR4:AR620">
    <cfRule type="cellIs" dxfId="3" priority="1" operator="lessThan">
      <formula>0.8</formula>
    </cfRule>
  </conditionalFormatting>
  <conditionalFormatting sqref="AR4:AR620">
    <cfRule type="cellIs" dxfId="2" priority="2" operator="between">
      <formula>0.8</formula>
      <formula>0.95</formula>
    </cfRule>
  </conditionalFormatting>
  <conditionalFormatting sqref="AR4:AR620">
    <cfRule type="cellIs" dxfId="1" priority="3" operator="greaterThanOrEqual">
      <formula>0.95</formula>
    </cfRule>
  </conditionalFormatting>
  <conditionalFormatting sqref="AO4:AO620">
    <cfRule type="cellIs" dxfId="0" priority="4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F2A4-B6B4-4A93-9367-4778D3009F9F}">
  <dimension ref="A1:H49"/>
  <sheetViews>
    <sheetView zoomScale="77" workbookViewId="0">
      <pane ySplit="5" topLeftCell="A26" activePane="bottomLeft" state="frozen"/>
      <selection pane="bottomLeft" activeCell="B37" sqref="B37"/>
    </sheetView>
  </sheetViews>
  <sheetFormatPr defaultRowHeight="14.25" x14ac:dyDescent="0.45"/>
  <cols>
    <col min="1" max="1" width="46.265625" customWidth="1"/>
    <col min="2" max="2" width="30.19921875" customWidth="1"/>
    <col min="3" max="3" width="33.796875" customWidth="1"/>
    <col min="4" max="4" width="74.6640625" customWidth="1"/>
    <col min="5" max="5" width="30.19921875" customWidth="1"/>
    <col min="6" max="6" width="26.6640625" customWidth="1"/>
    <col min="7" max="7" width="28.46484375" customWidth="1"/>
    <col min="8" max="8" width="17.796875" customWidth="1"/>
  </cols>
  <sheetData>
    <row r="1" spans="1:8" ht="18" x14ac:dyDescent="0.45">
      <c r="A1" s="15" t="s">
        <v>98</v>
      </c>
      <c r="B1" s="16"/>
      <c r="C1" s="16"/>
      <c r="D1" s="16"/>
      <c r="E1" s="16"/>
      <c r="F1" s="16"/>
      <c r="G1" s="16"/>
      <c r="H1" s="16"/>
    </row>
    <row r="2" spans="1:8" x14ac:dyDescent="0.45">
      <c r="A2" s="17" t="s">
        <v>99</v>
      </c>
      <c r="B2" s="16"/>
      <c r="C2" s="16"/>
      <c r="D2" s="16"/>
      <c r="E2" s="16"/>
      <c r="F2" s="16"/>
      <c r="G2" s="16"/>
      <c r="H2" s="16"/>
    </row>
    <row r="3" spans="1:8" x14ac:dyDescent="0.45">
      <c r="A3" s="16"/>
      <c r="B3" s="16"/>
      <c r="C3" s="16"/>
      <c r="D3" s="16"/>
      <c r="E3" s="16"/>
      <c r="F3" s="16"/>
      <c r="G3" s="16"/>
      <c r="H3" s="16"/>
    </row>
    <row r="4" spans="1:8" ht="15.75" x14ac:dyDescent="0.45">
      <c r="A4" s="18" t="s">
        <v>100</v>
      </c>
      <c r="B4" s="16"/>
      <c r="C4" s="16"/>
      <c r="D4" s="16"/>
      <c r="E4" s="16"/>
      <c r="F4" s="16"/>
      <c r="G4" s="16"/>
      <c r="H4" s="16"/>
    </row>
    <row r="5" spans="1:8" ht="28.5" x14ac:dyDescent="0.45">
      <c r="A5" s="19" t="s">
        <v>101</v>
      </c>
      <c r="B5" s="19" t="s">
        <v>102</v>
      </c>
      <c r="C5" s="19" t="s">
        <v>103</v>
      </c>
      <c r="D5" s="20" t="s">
        <v>104</v>
      </c>
      <c r="E5" s="19" t="s">
        <v>105</v>
      </c>
      <c r="F5" s="19" t="s">
        <v>106</v>
      </c>
      <c r="G5" s="19" t="s">
        <v>107</v>
      </c>
      <c r="H5" s="19" t="s">
        <v>108</v>
      </c>
    </row>
    <row r="6" spans="1:8" ht="342" x14ac:dyDescent="0.45">
      <c r="A6" s="21">
        <v>1</v>
      </c>
      <c r="B6" s="21" t="s">
        <v>109</v>
      </c>
      <c r="C6" s="21" t="s">
        <v>110</v>
      </c>
      <c r="D6" s="22" t="s">
        <v>111</v>
      </c>
      <c r="E6" s="21" t="s">
        <v>112</v>
      </c>
      <c r="F6" s="23"/>
      <c r="G6" s="23"/>
      <c r="H6" s="24" t="s">
        <v>113</v>
      </c>
    </row>
    <row r="7" spans="1:8" ht="285" x14ac:dyDescent="0.45">
      <c r="A7" s="21">
        <v>2</v>
      </c>
      <c r="B7" s="21" t="s">
        <v>114</v>
      </c>
      <c r="C7" s="21" t="s">
        <v>115</v>
      </c>
      <c r="D7" s="22" t="s">
        <v>116</v>
      </c>
      <c r="E7" s="21" t="s">
        <v>117</v>
      </c>
      <c r="F7" s="23"/>
      <c r="G7" s="23"/>
      <c r="H7" s="24" t="s">
        <v>113</v>
      </c>
    </row>
    <row r="8" spans="1:8" ht="156.75" x14ac:dyDescent="0.45">
      <c r="A8" s="21">
        <v>3</v>
      </c>
      <c r="B8" s="21" t="s">
        <v>118</v>
      </c>
      <c r="C8" s="21" t="s">
        <v>119</v>
      </c>
      <c r="D8" s="22" t="s">
        <v>120</v>
      </c>
      <c r="E8" s="21" t="s">
        <v>121</v>
      </c>
      <c r="F8" s="23"/>
      <c r="G8" s="23"/>
      <c r="H8" s="24" t="s">
        <v>113</v>
      </c>
    </row>
    <row r="9" spans="1:8" ht="299.25" x14ac:dyDescent="0.45">
      <c r="A9" s="21">
        <v>4</v>
      </c>
      <c r="B9" s="21" t="s">
        <v>122</v>
      </c>
      <c r="C9" s="21" t="s">
        <v>123</v>
      </c>
      <c r="D9" s="22" t="s">
        <v>124</v>
      </c>
      <c r="E9" s="21" t="s">
        <v>125</v>
      </c>
      <c r="F9" s="23"/>
      <c r="G9" s="23"/>
      <c r="H9" s="24" t="s">
        <v>113</v>
      </c>
    </row>
    <row r="10" spans="1:8" ht="370.5" x14ac:dyDescent="0.45">
      <c r="A10" s="25">
        <v>5</v>
      </c>
      <c r="B10" s="25" t="s">
        <v>126</v>
      </c>
      <c r="C10" s="25" t="s">
        <v>127</v>
      </c>
      <c r="D10" s="26" t="s">
        <v>128</v>
      </c>
      <c r="E10" s="25" t="s">
        <v>129</v>
      </c>
      <c r="F10" s="27"/>
      <c r="G10" s="27"/>
      <c r="H10" s="28" t="s">
        <v>113</v>
      </c>
    </row>
    <row r="11" spans="1:8" x14ac:dyDescent="0.45">
      <c r="A11" s="16"/>
      <c r="B11" s="16"/>
      <c r="C11" s="16"/>
      <c r="D11" s="16"/>
      <c r="E11" s="16"/>
      <c r="F11" s="16"/>
      <c r="G11" s="16"/>
      <c r="H11" s="16"/>
    </row>
    <row r="12" spans="1:8" ht="15.75" x14ac:dyDescent="0.45">
      <c r="A12" s="18" t="s">
        <v>130</v>
      </c>
      <c r="B12" s="16"/>
      <c r="C12" s="16"/>
      <c r="D12" s="16"/>
      <c r="E12" s="16"/>
      <c r="F12" s="16"/>
      <c r="G12" s="16"/>
      <c r="H12" s="16"/>
    </row>
    <row r="13" spans="1:8" x14ac:dyDescent="0.45">
      <c r="A13" s="19" t="s">
        <v>101</v>
      </c>
      <c r="B13" s="19" t="s">
        <v>131</v>
      </c>
      <c r="C13" s="19" t="s">
        <v>132</v>
      </c>
      <c r="D13" s="19" t="s">
        <v>133</v>
      </c>
      <c r="E13" s="19" t="s">
        <v>134</v>
      </c>
      <c r="F13" s="19" t="s">
        <v>106</v>
      </c>
      <c r="G13" s="19" t="s">
        <v>107</v>
      </c>
      <c r="H13" s="19" t="s">
        <v>108</v>
      </c>
    </row>
    <row r="14" spans="1:8" ht="42.75" x14ac:dyDescent="0.45">
      <c r="A14" s="21">
        <v>6</v>
      </c>
      <c r="B14" s="21" t="s">
        <v>135</v>
      </c>
      <c r="C14" s="21" t="s">
        <v>136</v>
      </c>
      <c r="D14" s="22" t="s">
        <v>137</v>
      </c>
      <c r="E14" s="21">
        <v>32</v>
      </c>
      <c r="F14" s="23"/>
      <c r="G14" s="23"/>
      <c r="H14" s="24" t="s">
        <v>138</v>
      </c>
    </row>
    <row r="15" spans="1:8" ht="57" x14ac:dyDescent="0.45">
      <c r="A15" s="21">
        <v>7</v>
      </c>
      <c r="B15" s="21" t="s">
        <v>135</v>
      </c>
      <c r="C15" s="21" t="s">
        <v>139</v>
      </c>
      <c r="D15" s="22" t="s">
        <v>140</v>
      </c>
      <c r="E15" s="21">
        <v>32</v>
      </c>
      <c r="F15" s="23"/>
      <c r="G15" s="23"/>
      <c r="H15" s="24" t="s">
        <v>138</v>
      </c>
    </row>
    <row r="16" spans="1:8" ht="99.75" x14ac:dyDescent="0.45">
      <c r="A16" s="21">
        <v>8</v>
      </c>
      <c r="B16" s="21" t="s">
        <v>135</v>
      </c>
      <c r="C16" s="21" t="s">
        <v>141</v>
      </c>
      <c r="D16" s="22" t="s">
        <v>142</v>
      </c>
      <c r="E16" s="21">
        <v>32</v>
      </c>
      <c r="F16" s="23"/>
      <c r="G16" s="23"/>
      <c r="H16" s="24" t="s">
        <v>138</v>
      </c>
    </row>
    <row r="17" spans="1:8" ht="42.75" x14ac:dyDescent="0.45">
      <c r="A17" s="21">
        <v>9</v>
      </c>
      <c r="B17" s="21" t="s">
        <v>143</v>
      </c>
      <c r="C17" s="21" t="s">
        <v>144</v>
      </c>
      <c r="D17" s="22" t="s">
        <v>137</v>
      </c>
      <c r="E17" s="21">
        <v>64</v>
      </c>
      <c r="F17" s="23"/>
      <c r="G17" s="23"/>
      <c r="H17" s="24" t="s">
        <v>138</v>
      </c>
    </row>
    <row r="18" spans="1:8" ht="71.25" x14ac:dyDescent="0.45">
      <c r="A18" s="21">
        <v>10</v>
      </c>
      <c r="B18" s="21" t="s">
        <v>145</v>
      </c>
      <c r="C18" s="21" t="s">
        <v>146</v>
      </c>
      <c r="D18" s="22" t="s">
        <v>147</v>
      </c>
      <c r="E18" s="21">
        <v>32</v>
      </c>
      <c r="F18" s="23"/>
      <c r="G18" s="23"/>
      <c r="H18" s="24" t="s">
        <v>138</v>
      </c>
    </row>
    <row r="19" spans="1:8" ht="71.25" x14ac:dyDescent="0.45">
      <c r="A19" s="21">
        <v>11</v>
      </c>
      <c r="B19" s="21" t="s">
        <v>148</v>
      </c>
      <c r="C19" s="21" t="s">
        <v>149</v>
      </c>
      <c r="D19" s="22" t="s">
        <v>150</v>
      </c>
      <c r="E19" s="21">
        <v>96</v>
      </c>
      <c r="F19" s="23"/>
      <c r="G19" s="23"/>
      <c r="H19" s="24" t="s">
        <v>138</v>
      </c>
    </row>
    <row r="20" spans="1:8" ht="142.5" x14ac:dyDescent="0.45">
      <c r="A20" s="25">
        <v>12</v>
      </c>
      <c r="B20" s="25" t="s">
        <v>151</v>
      </c>
      <c r="C20" s="25" t="s">
        <v>152</v>
      </c>
      <c r="D20" s="26" t="s">
        <v>153</v>
      </c>
      <c r="E20" s="25">
        <v>35</v>
      </c>
      <c r="F20" s="27"/>
      <c r="G20" s="27"/>
      <c r="H20" s="28" t="s">
        <v>138</v>
      </c>
    </row>
    <row r="21" spans="1:8" x14ac:dyDescent="0.45">
      <c r="A21" s="16"/>
      <c r="B21" s="16"/>
      <c r="C21" s="16"/>
      <c r="D21" s="16"/>
      <c r="E21" s="16"/>
      <c r="F21" s="16"/>
      <c r="G21" s="16"/>
      <c r="H21" s="16"/>
    </row>
    <row r="22" spans="1:8" ht="15.75" x14ac:dyDescent="0.45">
      <c r="A22" s="18" t="s">
        <v>154</v>
      </c>
      <c r="B22" s="16"/>
      <c r="C22" s="16"/>
      <c r="D22" s="16"/>
      <c r="E22" s="16"/>
      <c r="F22" s="16"/>
      <c r="G22" s="16"/>
      <c r="H22" s="16"/>
    </row>
    <row r="23" spans="1:8" x14ac:dyDescent="0.45">
      <c r="A23" s="19" t="s">
        <v>101</v>
      </c>
      <c r="B23" s="19" t="s">
        <v>155</v>
      </c>
      <c r="C23" s="19" t="s">
        <v>156</v>
      </c>
      <c r="D23" s="19" t="s">
        <v>157</v>
      </c>
      <c r="E23" s="19" t="s">
        <v>158</v>
      </c>
      <c r="F23" s="16"/>
      <c r="G23" s="16"/>
      <c r="H23" s="16"/>
    </row>
    <row r="24" spans="1:8" ht="185.25" x14ac:dyDescent="0.45">
      <c r="A24" s="21">
        <v>1</v>
      </c>
      <c r="B24" s="29">
        <v>46267</v>
      </c>
      <c r="C24" s="21" t="s">
        <v>159</v>
      </c>
      <c r="D24" s="22" t="s">
        <v>160</v>
      </c>
      <c r="E24" s="21" t="s">
        <v>161</v>
      </c>
      <c r="F24" s="16"/>
      <c r="G24" s="16"/>
      <c r="H24" s="16"/>
    </row>
    <row r="25" spans="1:8" ht="99.75" x14ac:dyDescent="0.45">
      <c r="A25" s="21">
        <v>2</v>
      </c>
      <c r="B25" s="29">
        <v>46267</v>
      </c>
      <c r="C25" s="21" t="s">
        <v>162</v>
      </c>
      <c r="D25" s="22" t="s">
        <v>163</v>
      </c>
      <c r="E25" s="21" t="s">
        <v>161</v>
      </c>
      <c r="F25" s="16"/>
      <c r="G25" s="16"/>
      <c r="H25" s="16"/>
    </row>
    <row r="26" spans="1:8" ht="171" x14ac:dyDescent="0.45">
      <c r="A26" s="25">
        <v>3</v>
      </c>
      <c r="B26" s="30">
        <v>46267</v>
      </c>
      <c r="C26" s="25" t="s">
        <v>164</v>
      </c>
      <c r="D26" s="26" t="s">
        <v>165</v>
      </c>
      <c r="E26" s="25" t="s">
        <v>166</v>
      </c>
      <c r="F26" s="16"/>
      <c r="G26" s="16"/>
      <c r="H26" s="16"/>
    </row>
    <row r="27" spans="1:8" ht="28.5" x14ac:dyDescent="0.45">
      <c r="A27" s="37">
        <v>4</v>
      </c>
      <c r="B27" s="13">
        <v>46267</v>
      </c>
      <c r="C27" s="37" t="s">
        <v>179</v>
      </c>
      <c r="D27" s="38" t="s">
        <v>180</v>
      </c>
      <c r="E27" s="37" t="s">
        <v>166</v>
      </c>
    </row>
    <row r="29" spans="1:8" ht="15.75" x14ac:dyDescent="0.5">
      <c r="A29" s="12" t="s">
        <v>181</v>
      </c>
    </row>
    <row r="30" spans="1:8" x14ac:dyDescent="0.45">
      <c r="A30" s="46" t="s">
        <v>182</v>
      </c>
    </row>
    <row r="31" spans="1:8" x14ac:dyDescent="0.45">
      <c r="A31" s="14" t="s">
        <v>183</v>
      </c>
      <c r="B31" s="14" t="s">
        <v>184</v>
      </c>
      <c r="C31" s="14" t="s">
        <v>185</v>
      </c>
    </row>
    <row r="32" spans="1:8" x14ac:dyDescent="0.45">
      <c r="A32" s="39" t="s">
        <v>186</v>
      </c>
      <c r="B32" s="48">
        <v>11</v>
      </c>
      <c r="C32" s="48" t="s">
        <v>187</v>
      </c>
    </row>
    <row r="33" spans="1:3" x14ac:dyDescent="0.45">
      <c r="A33" s="40" t="s">
        <v>188</v>
      </c>
      <c r="B33" s="49">
        <v>16</v>
      </c>
      <c r="C33" s="49" t="s">
        <v>189</v>
      </c>
    </row>
    <row r="34" spans="1:3" x14ac:dyDescent="0.45">
      <c r="A34" s="40" t="s">
        <v>190</v>
      </c>
      <c r="B34" s="40">
        <v>12</v>
      </c>
      <c r="C34" s="40" t="s">
        <v>191</v>
      </c>
    </row>
    <row r="35" spans="1:3" x14ac:dyDescent="0.45">
      <c r="A35" s="40" t="s">
        <v>192</v>
      </c>
      <c r="B35" s="40">
        <v>11</v>
      </c>
      <c r="C35" s="40" t="s">
        <v>193</v>
      </c>
    </row>
    <row r="36" spans="1:3" x14ac:dyDescent="0.45">
      <c r="A36" s="40" t="s">
        <v>194</v>
      </c>
      <c r="B36" s="47">
        <v>20</v>
      </c>
      <c r="C36" s="47" t="s">
        <v>195</v>
      </c>
    </row>
    <row r="37" spans="1:3" x14ac:dyDescent="0.45">
      <c r="A37" s="40" t="s">
        <v>196</v>
      </c>
      <c r="B37" s="47">
        <v>9</v>
      </c>
      <c r="C37" s="47" t="s">
        <v>195</v>
      </c>
    </row>
    <row r="38" spans="1:3" x14ac:dyDescent="0.45">
      <c r="A38" s="40" t="s">
        <v>197</v>
      </c>
      <c r="B38" s="40">
        <v>1</v>
      </c>
      <c r="C38" s="40" t="s">
        <v>198</v>
      </c>
    </row>
    <row r="39" spans="1:3" x14ac:dyDescent="0.45">
      <c r="A39" s="41" t="s">
        <v>199</v>
      </c>
      <c r="B39" s="41">
        <f>SUM(B32:B38)</f>
        <v>80</v>
      </c>
      <c r="C39" s="42"/>
    </row>
    <row r="41" spans="1:3" x14ac:dyDescent="0.45">
      <c r="A41" s="31" t="s">
        <v>200</v>
      </c>
    </row>
    <row r="42" spans="1:3" x14ac:dyDescent="0.45">
      <c r="A42" t="s">
        <v>201</v>
      </c>
      <c r="B42">
        <v>0.36</v>
      </c>
      <c r="C42" t="s">
        <v>202</v>
      </c>
    </row>
    <row r="43" spans="1:3" x14ac:dyDescent="0.45">
      <c r="A43" s="31" t="s">
        <v>203</v>
      </c>
      <c r="B43">
        <v>0.73</v>
      </c>
    </row>
    <row r="44" spans="1:3" x14ac:dyDescent="0.45">
      <c r="A44" t="s">
        <v>204</v>
      </c>
      <c r="B44">
        <v>0.84</v>
      </c>
      <c r="C44" t="s">
        <v>205</v>
      </c>
    </row>
    <row r="45" spans="1:3" x14ac:dyDescent="0.45">
      <c r="A45" s="31" t="s">
        <v>206</v>
      </c>
      <c r="B45">
        <v>1.75</v>
      </c>
      <c r="C45" t="s">
        <v>207</v>
      </c>
    </row>
    <row r="47" spans="1:3" ht="45" customHeight="1" x14ac:dyDescent="0.45">
      <c r="A47" s="44" t="s">
        <v>208</v>
      </c>
      <c r="B47" s="43" t="s">
        <v>209</v>
      </c>
    </row>
    <row r="48" spans="1:3" x14ac:dyDescent="0.45">
      <c r="A48" s="16"/>
    </row>
    <row r="49" spans="1:1" ht="32" customHeight="1" x14ac:dyDescent="0.45">
      <c r="A49" s="4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Bao Tran (S.CECS)</dc:creator>
  <cp:lastModifiedBy>Vo Bao Tran (S.CECS)</cp:lastModifiedBy>
  <dcterms:created xsi:type="dcterms:W3CDTF">2026-08-18T12:14:11Z</dcterms:created>
  <dcterms:modified xsi:type="dcterms:W3CDTF">2026-09-03T01:21:54Z</dcterms:modified>
</cp:coreProperties>
</file>